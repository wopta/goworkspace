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1"/>
  <workbookPr/>
  <mc:AlternateContent xmlns:mc="http://schemas.openxmlformats.org/markup-compatibility/2006">
    <mc:Choice Requires="x15">
      <x15ac:absPath xmlns:x15ac="http://schemas.microsoft.com/office/spreadsheetml/2010/11/ac" url="G:\GLOBAL ASSISTANCE\TARIFFE\SUPPORTO TARIFFE AFFINITY\WOPTA\Prodotto PMI\B - Scheda Prodotto\"/>
    </mc:Choice>
  </mc:AlternateContent>
  <xr:revisionPtr revIDLastSave="0" documentId="13_ncr:1_{31E3A6DE-DC3A-4739-B5A0-FB447668D640}" xr6:coauthVersionLast="47" xr6:coauthVersionMax="47" xr10:uidLastSave="{00000000-0000-0000-0000-000000000000}"/>
  <bookViews>
    <workbookView xWindow="-107" yWindow="-107" windowWidth="20847" windowHeight="11111" firstSheet="1" activeTab="1" xr2:uid="{00000000-000D-0000-FFFF-FFFF00000000}"/>
  </bookViews>
  <sheets>
    <sheet name="SCOPERTI-FRANCHIGIE" sheetId="16" r:id="rId1"/>
    <sheet name="INCENDIO" sheetId="10" r:id="rId2"/>
    <sheet name="RC" sheetId="11" r:id="rId3"/>
    <sheet name="FURTO" sheetId="13" r:id="rId4"/>
    <sheet name="Elettronica" sheetId="2" r:id="rId5"/>
    <sheet name="BUSINESS INTERRUPTION" sheetId="9" r:id="rId6"/>
    <sheet name="Cyber Risk" sheetId="14" r:id="rId7"/>
    <sheet name="Tutela Legale" sheetId="7" r:id="rId8"/>
    <sheet name="Assistenza" sheetId="1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0" l="1"/>
  <c r="H39" i="10"/>
  <c r="M19" i="16"/>
  <c r="M20" i="16" s="1"/>
  <c r="K19" i="16"/>
  <c r="K20" i="16" s="1"/>
  <c r="K10" i="16"/>
  <c r="K11" i="16" s="1"/>
  <c r="M10" i="16"/>
  <c r="M11" i="16" s="1"/>
  <c r="B51" i="16"/>
  <c r="B33" i="16"/>
  <c r="D17" i="16"/>
  <c r="C18" i="16"/>
  <c r="C17" i="16"/>
  <c r="C16" i="16"/>
  <c r="C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tc={D79C4316-0A1B-4F2B-A337-60C9722FD512}</author>
  </authors>
  <commentList>
    <comment ref="D4" authorId="0" shapeId="0" xr:uid="{D79C4316-0A1B-4F2B-A337-60C9722FD512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trasparenza verso il cliente:
1. limite di indennizzo per numero di giorni
2. limite di indennizzo in somma
non è trasparente vendere una garanzia con indennizzo max 90gg ma poi  se scelgo 2k al giorno il max indennizzo è di 12 giorni.
come proposto meglio ridurre eventualmente gli indennizzi giornalieri a 250 500 1000 e conservare limite indennizzo di 90gg
Reply:
    si propne max differenziato per diaria</t>
      </text>
    </comment>
  </commentList>
</comments>
</file>

<file path=xl/sharedStrings.xml><?xml version="1.0" encoding="utf-8"?>
<sst xmlns="http://schemas.openxmlformats.org/spreadsheetml/2006/main" count="869" uniqueCount="315">
  <si>
    <t>* per le garanzie "di cui" se non specificato segue la sezione base</t>
  </si>
  <si>
    <t>Livelli Scoperti/Franchigia</t>
  </si>
  <si>
    <t>Minima</t>
  </si>
  <si>
    <t>Bassa</t>
  </si>
  <si>
    <t>Medio-Bassa</t>
  </si>
  <si>
    <t>Media</t>
  </si>
  <si>
    <t>Medio-Alta</t>
  </si>
  <si>
    <t>Alta</t>
  </si>
  <si>
    <t>ESEMPI APPLICAZIONE SCOPERTI/FRANCHIGIA</t>
  </si>
  <si>
    <t>Garanzie *</t>
  </si>
  <si>
    <t>A</t>
  </si>
  <si>
    <t>B</t>
  </si>
  <si>
    <t>C</t>
  </si>
  <si>
    <t>D</t>
  </si>
  <si>
    <t>E</t>
  </si>
  <si>
    <t>F</t>
  </si>
  <si>
    <t>INCENDIO</t>
  </si>
  <si>
    <t>Tipo Scoperto/Franchigia</t>
  </si>
  <si>
    <t>Scoperto % su Indennizzo</t>
  </si>
  <si>
    <t>Scoperto % su VA</t>
  </si>
  <si>
    <t>Incendio Fabbricato / Rischio Locativo</t>
  </si>
  <si>
    <t>1k</t>
  </si>
  <si>
    <t>2k</t>
  </si>
  <si>
    <t>3k</t>
  </si>
  <si>
    <t>5k</t>
  </si>
  <si>
    <t>Franchgia Fissa su Indennizzo</t>
  </si>
  <si>
    <t>Min Franchigia Base Sezione</t>
  </si>
  <si>
    <t>Ricorso Terzi da Incendio</t>
  </si>
  <si>
    <t>10% - min 1k</t>
  </si>
  <si>
    <t>10% - min 2k</t>
  </si>
  <si>
    <t>10% - min 3k</t>
  </si>
  <si>
    <t>10% - min 5k</t>
  </si>
  <si>
    <t>Massimale</t>
  </si>
  <si>
    <t>Somma Assicurata</t>
  </si>
  <si>
    <t>Acqua Condotta</t>
  </si>
  <si>
    <t>Danno</t>
  </si>
  <si>
    <t>Fenomeno Elettrico</t>
  </si>
  <si>
    <t>10% - min 500</t>
  </si>
  <si>
    <t>Scoperto Garanzia %</t>
  </si>
  <si>
    <t>Eventi Atmosferici</t>
  </si>
  <si>
    <t>10% - min 1,5k</t>
  </si>
  <si>
    <t>Scoperto % su Indennizzo - Rischi per contenuti all'aperto scoperto raddoppiato (da CGA)</t>
  </si>
  <si>
    <t>Non indennizzabile in Euro</t>
  </si>
  <si>
    <t>Eventi Sociopolitici</t>
  </si>
  <si>
    <t>5% - min 500</t>
  </si>
  <si>
    <t>5% - min 1k</t>
  </si>
  <si>
    <t>15% - min 5k</t>
  </si>
  <si>
    <t>Pagato</t>
  </si>
  <si>
    <t>Atti di Terrorismo</t>
  </si>
  <si>
    <t>Terremoto</t>
  </si>
  <si>
    <t xml:space="preserve">Alluvione Innondazione </t>
  </si>
  <si>
    <t>Franchigia Fissa su Indennizzo</t>
  </si>
  <si>
    <t>Franchigia % del VA</t>
  </si>
  <si>
    <t>Allagamento</t>
  </si>
  <si>
    <t xml:space="preserve">Rottura Lastre </t>
  </si>
  <si>
    <t>Franchgia Fissa su Indennizzo (se ad es. SA &lt;10k Fr. Max 2k)</t>
  </si>
  <si>
    <t>Guasti Macchina</t>
  </si>
  <si>
    <t>1,5k</t>
  </si>
  <si>
    <t>Incendio Contenuto</t>
  </si>
  <si>
    <t>Franchigia garanzia</t>
  </si>
  <si>
    <t>Franchigia garanzia %</t>
  </si>
  <si>
    <t>La franchigia si applica su ciascun immobile/fabbricato assicurato</t>
  </si>
  <si>
    <t>RC</t>
  </si>
  <si>
    <t>RCT</t>
  </si>
  <si>
    <t>RCT EDILI</t>
  </si>
  <si>
    <t>danni da spargimento acqua</t>
  </si>
  <si>
    <t>danni a veicoli di terzi e prestatori di lavoro</t>
  </si>
  <si>
    <t>committenza veicoli a motore</t>
  </si>
  <si>
    <t>cose in consegna e custodia</t>
  </si>
  <si>
    <t>danni alle cose che si trovano nell'ambito di esecuzione dei lavori</t>
  </si>
  <si>
    <t>danni a cose di terzi sollevate caricate scaricate movimentate trasportate o rimorchiate</t>
  </si>
  <si>
    <t>mezzi di trasporto sotto carico e scarico</t>
  </si>
  <si>
    <t>danni da incendio esplosione e scoppio</t>
  </si>
  <si>
    <t>danni da sospensione interruzione di attività</t>
  </si>
  <si>
    <t>Responsabilità civile smercio</t>
  </si>
  <si>
    <t>Sezione RCT a pagamento:</t>
  </si>
  <si>
    <t>tutte le garanzie</t>
  </si>
  <si>
    <t>RC Edile aggiuntive</t>
  </si>
  <si>
    <t>Franchgia Fissa su Indennizzo (in alternativa scoperto 10% - min da 1,5k a 5k)</t>
  </si>
  <si>
    <t>RC INQUINAMENTO</t>
  </si>
  <si>
    <t>danni da inquinamento accidentale</t>
  </si>
  <si>
    <t>RCF</t>
  </si>
  <si>
    <t xml:space="preserve">danni incendio </t>
  </si>
  <si>
    <t>danni da interruzione di attività</t>
  </si>
  <si>
    <t xml:space="preserve">danni da spargimento acqua </t>
  </si>
  <si>
    <t>danni lavori di manutenzione svolti in autonomia</t>
  </si>
  <si>
    <t>10% - min 2,5k</t>
  </si>
  <si>
    <t>danni a condutture e impianti sotterranei</t>
  </si>
  <si>
    <t>danni da cedimento e franamento del terreno</t>
  </si>
  <si>
    <t>danni da bagnamento</t>
  </si>
  <si>
    <t>RCO</t>
  </si>
  <si>
    <t>RCO con franchigia assoluta</t>
  </si>
  <si>
    <t>2,6k</t>
  </si>
  <si>
    <t>Franchgia Fissa su Indennizzo per prestatore</t>
  </si>
  <si>
    <t xml:space="preserve">malattie professionali </t>
  </si>
  <si>
    <t>RC PRODOTTI</t>
  </si>
  <si>
    <t>RCP</t>
  </si>
  <si>
    <t>10% - min 10k</t>
  </si>
  <si>
    <t>10% - min 15k</t>
  </si>
  <si>
    <t>10% - min 20k</t>
  </si>
  <si>
    <t>10% - min 25k</t>
  </si>
  <si>
    <t>10% - min 30k</t>
  </si>
  <si>
    <t>FURTO</t>
  </si>
  <si>
    <t>Furto</t>
  </si>
  <si>
    <t>tutte garanzie incluse nel Furto</t>
  </si>
  <si>
    <t>Sezione Furto a pagamento:</t>
  </si>
  <si>
    <t>Furto Valori e Preziosi in cassaforte</t>
  </si>
  <si>
    <t>Franchgia Fissa su Indennizzo (se SA &lt;10k Fr. Max 2k)</t>
  </si>
  <si>
    <t>Portavalori</t>
  </si>
  <si>
    <t>ELETTRONICA</t>
  </si>
  <si>
    <t xml:space="preserve">Base </t>
  </si>
  <si>
    <t>maggiori costi</t>
  </si>
  <si>
    <t>3 gg.</t>
  </si>
  <si>
    <t>Franchgia Fissa su gg. Indennizzo</t>
  </si>
  <si>
    <t>tutte garanzie incluse nell'Elettronica</t>
  </si>
  <si>
    <t>BUSINESS INT.</t>
  </si>
  <si>
    <t>Base</t>
  </si>
  <si>
    <t>5 gg.</t>
  </si>
  <si>
    <t>5gg.</t>
  </si>
  <si>
    <t>10 gg.</t>
  </si>
  <si>
    <t>CYBER</t>
  </si>
  <si>
    <t>di cui Violazione Privacy / sicurezza rete</t>
  </si>
  <si>
    <t>di cui Danno reputazionale</t>
  </si>
  <si>
    <t>di cui Danni da responsabilità multimediale</t>
  </si>
  <si>
    <t>di cui Danni da interruzione attività</t>
  </si>
  <si>
    <t>di cui Danni su carte di pagamento/credito (PCI-DSS)</t>
  </si>
  <si>
    <t>di cui Cyber CRIME</t>
  </si>
  <si>
    <t>SEZIONE B) INCENDIO</t>
  </si>
  <si>
    <t>Rischi Nominati</t>
  </si>
  <si>
    <t>Copertura</t>
  </si>
  <si>
    <t>Sezione Incendio:</t>
  </si>
  <si>
    <t>Sottolimite</t>
  </si>
  <si>
    <t xml:space="preserve">sono ALTERNATIVE </t>
  </si>
  <si>
    <t>ACQUISTABILE SINGOLARMENTE (se sei proprietario dell'immobile)</t>
  </si>
  <si>
    <r>
      <t xml:space="preserve">Incendio Fabbricato: </t>
    </r>
    <r>
      <rPr>
        <u/>
        <sz val="11"/>
        <color theme="1"/>
        <rFont val="Calibri"/>
        <family val="2"/>
        <scheme val="minor"/>
      </rPr>
      <t>Formula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Rischi Nominati</t>
    </r>
  </si>
  <si>
    <t>1,5 mil Autonomia - 3 mil RD</t>
  </si>
  <si>
    <t>di cui Periti</t>
  </si>
  <si>
    <t>Inclusa in Incendio Fabbricato</t>
  </si>
  <si>
    <t>5% indennizzo fino a max 5k</t>
  </si>
  <si>
    <t>di cui Demolize&amp;Sgombero</t>
  </si>
  <si>
    <t>100k SX&amp;ANNO</t>
  </si>
  <si>
    <t>Opzionale e a pagamento</t>
  </si>
  <si>
    <t>150k SX&amp;ANNO</t>
  </si>
  <si>
    <t>ACQUISTABILE SINGOLARMENTE (se sei locatario dell'immobile)</t>
  </si>
  <si>
    <r>
      <t xml:space="preserve">Rischio Locativo: </t>
    </r>
    <r>
      <rPr>
        <u/>
        <sz val="11"/>
        <color theme="1"/>
        <rFont val="Calibri"/>
        <family val="2"/>
        <scheme val="minor"/>
      </rPr>
      <t>Formula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Rischi Nominati</t>
    </r>
  </si>
  <si>
    <t>estensioni sezione incendio</t>
  </si>
  <si>
    <t>Opzionale x Fabbricato, r.locativo e contenuto</t>
  </si>
  <si>
    <t>Acqua Condotta (DANNI DA SPARGIMENTO D'ACQUA)</t>
  </si>
  <si>
    <t>opzionale</t>
  </si>
  <si>
    <t>SA da 10K a 100K</t>
  </si>
  <si>
    <r>
      <rPr>
        <u/>
        <sz val="11"/>
        <color theme="8"/>
        <rFont val="Calibri"/>
        <family val="2"/>
        <scheme val="minor"/>
      </rPr>
      <t>di cui</t>
    </r>
    <r>
      <rPr>
        <sz val="11"/>
        <color theme="8"/>
        <rFont val="Calibri"/>
        <family val="2"/>
        <scheme val="minor"/>
      </rPr>
      <t xml:space="preserve"> : Ricerca e Riparazione Acqua</t>
    </r>
  </si>
  <si>
    <t>inclusa nell'acqua condotta</t>
  </si>
  <si>
    <t>5k SX&amp;ANNO</t>
  </si>
  <si>
    <t>SA da 5k a 50k</t>
  </si>
  <si>
    <t>Opzionale solo per Fabbric e contenuto</t>
  </si>
  <si>
    <t>100% SA (FABB&amp;CONT)</t>
  </si>
  <si>
    <t xml:space="preserve">di cui Pannelli Fotovoltaici </t>
  </si>
  <si>
    <t>Inclusa in eventi atmosferici</t>
  </si>
  <si>
    <t>10% fabbricato MAX 50K SX&amp;ANNO</t>
  </si>
  <si>
    <t>di cui Sovraccarico NEVE</t>
  </si>
  <si>
    <t>40% SA FABB&amp;CONT</t>
  </si>
  <si>
    <t>di cui GELO</t>
  </si>
  <si>
    <t>inclusa in eventi atmosferici</t>
  </si>
  <si>
    <t>Eventi Sociopolitici
(Tumulti Popolari, Scioperi, sommosse, Dolosi )</t>
  </si>
  <si>
    <t>80% SA FABB&amp;CONT SX&amp;ANNO</t>
  </si>
  <si>
    <t>50% SA (FABB&amp;CONT)</t>
  </si>
  <si>
    <t>SA a scelta da 30% fino 70%</t>
  </si>
  <si>
    <t>SA a scelta da 2,5k a 10k</t>
  </si>
  <si>
    <t>Opzionale x Fabbricato, r.locativ</t>
  </si>
  <si>
    <t>SA 5k-100k</t>
  </si>
  <si>
    <t>GARANZIA OPZIONALE</t>
  </si>
  <si>
    <r>
      <t xml:space="preserve">Incendio Contenuto: </t>
    </r>
    <r>
      <rPr>
        <u/>
        <sz val="11"/>
        <color theme="1"/>
        <rFont val="Calibri"/>
        <family val="2"/>
        <scheme val="minor"/>
      </rPr>
      <t>Formula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Rischi Nominati</t>
    </r>
  </si>
  <si>
    <t>base</t>
  </si>
  <si>
    <t>300k SX &amp; ANNO - Fino a 1 Mln RD</t>
  </si>
  <si>
    <t>di cui Valori</t>
  </si>
  <si>
    <t>2% max 5K sx/anno</t>
  </si>
  <si>
    <t>di cui Preziosi</t>
  </si>
  <si>
    <t>2% max 10K sx/anno</t>
  </si>
  <si>
    <t>di cui Effetti personali Addetti</t>
  </si>
  <si>
    <t>di cui  Enti Aventi Valore Artistico</t>
  </si>
  <si>
    <t>di cui Merci di Natura diversa dall'Att. Assicurata</t>
  </si>
  <si>
    <t>15% SA Cont</t>
  </si>
  <si>
    <t>5% indenn fino a max 10k</t>
  </si>
  <si>
    <t>All Risk</t>
  </si>
  <si>
    <t>ACQUISTABILE SINGOLARMENTE</t>
  </si>
  <si>
    <r>
      <t xml:space="preserve">Incendio Fabbricato: </t>
    </r>
    <r>
      <rPr>
        <u/>
        <sz val="11"/>
        <color theme="1"/>
        <rFont val="Calibri"/>
        <family val="2"/>
        <scheme val="minor"/>
      </rPr>
      <t>Formula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ALL RISK</t>
    </r>
  </si>
  <si>
    <t>di cui Demoliz&amp;Sgombero</t>
  </si>
  <si>
    <r>
      <t xml:space="preserve">Rischio Locativo: NON VENDIBILE nella </t>
    </r>
    <r>
      <rPr>
        <u/>
        <sz val="11"/>
        <color theme="1"/>
        <rFont val="Calibri"/>
        <family val="2"/>
        <scheme val="minor"/>
      </rPr>
      <t>Formula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ALL RISK (V. RISCHIO NOMINATIVO)</t>
    </r>
  </si>
  <si>
    <t>SEMPRE INCLUSE in ALL RISK "Base"</t>
  </si>
  <si>
    <t xml:space="preserve">Acqua Condotta </t>
  </si>
  <si>
    <t>30% SA (FABB&amp;CONT)</t>
  </si>
  <si>
    <t>20% SA (FABB&amp;CONT)</t>
  </si>
  <si>
    <t>Opzionale</t>
  </si>
  <si>
    <r>
      <t xml:space="preserve">Incendio Contenuto: </t>
    </r>
    <r>
      <rPr>
        <u/>
        <sz val="11"/>
        <color theme="1"/>
        <rFont val="Calibri"/>
        <family val="2"/>
        <scheme val="minor"/>
      </rPr>
      <t>Formula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ALL RISK (solo Rischio nominativo se abbinata al RISCHIO LOCATIVO)</t>
    </r>
  </si>
  <si>
    <t>InclusI in Inc Contenuto</t>
  </si>
  <si>
    <t>WOPTA</t>
  </si>
  <si>
    <t>Sezione Incendio</t>
  </si>
  <si>
    <t>Acquistabile Singolarmente</t>
  </si>
  <si>
    <t>SA da 500 a 1,5 mil (2 - 2.5 - 3 mil. RD)</t>
  </si>
  <si>
    <t>di cui:</t>
  </si>
  <si>
    <t xml:space="preserve">10% Massimale e max 100k per sx/anno </t>
  </si>
  <si>
    <t xml:space="preserve">500k SX&amp;ANNO </t>
  </si>
  <si>
    <t>25k sx/anno</t>
  </si>
  <si>
    <t>150k sx/anno</t>
  </si>
  <si>
    <t>50k Sx/anno</t>
  </si>
  <si>
    <t>150k. Sx/anno</t>
  </si>
  <si>
    <t xml:space="preserve">10% Massimale e max 100kper sx/anno </t>
  </si>
  <si>
    <t>10% MAX rc</t>
  </si>
  <si>
    <t>aggiuntive a pagamento</t>
  </si>
  <si>
    <r>
      <rPr>
        <b/>
        <u/>
        <sz val="11"/>
        <color theme="1"/>
        <rFont val="Calibri"/>
        <family val="2"/>
        <scheme val="minor"/>
      </rPr>
      <t>di cui a pagamento</t>
    </r>
    <r>
      <rPr>
        <b/>
        <sz val="11"/>
        <color theme="1"/>
        <rFont val="Calibri"/>
        <family val="2"/>
        <scheme val="minor"/>
      </rPr>
      <t xml:space="preserve"> (con proprio massimale):</t>
    </r>
  </si>
  <si>
    <t>danni ai veicoli in consegna e custodia</t>
  </si>
  <si>
    <t>50k sx/anno</t>
  </si>
  <si>
    <t>Responsabilità civile postuma officine</t>
  </si>
  <si>
    <t>10% Massimale per sx/anno - Max 400k</t>
  </si>
  <si>
    <r>
      <t>Responsabilità civile postuma 12 mesi</t>
    </r>
    <r>
      <rPr>
        <b/>
        <u/>
        <sz val="11"/>
        <color theme="1"/>
        <rFont val="Calibri"/>
        <family val="2"/>
        <scheme val="minor"/>
      </rPr>
      <t xml:space="preserve"> (esclusa per settore edile)</t>
    </r>
  </si>
  <si>
    <t>Responsabilità civile postuma D.M.37/2008</t>
  </si>
  <si>
    <t>danni da furto</t>
  </si>
  <si>
    <t>A pagamento con max 50k Sx/Anno (per tutte le garanzie assieme) - RC Edile nel foglio Franchigie.</t>
  </si>
  <si>
    <t>danni da bagnamento/spargimento acqua</t>
  </si>
  <si>
    <t>danni alle cose sulle quali si eseguono i lavori</t>
  </si>
  <si>
    <t>15k sx/anno</t>
  </si>
  <si>
    <t>opzionale, aquistabile in abbinamento a RCT ma "ALTERNATIVA" a RCF</t>
  </si>
  <si>
    <t xml:space="preserve">RC INQUINAMENTO </t>
  </si>
  <si>
    <t>100k Sx/anno</t>
  </si>
  <si>
    <t xml:space="preserve">Acquistabile Singolarmente </t>
  </si>
  <si>
    <t>inclusive (non a pagamento)</t>
  </si>
  <si>
    <t xml:space="preserve">RCFabbricato </t>
  </si>
  <si>
    <t>SA: da 500 a 2 mil</t>
  </si>
  <si>
    <t>VENDIBILE SIA PER INCENDIO FABBRICATO CHE RISCHIO LOCATIVO</t>
  </si>
  <si>
    <t xml:space="preserve">10% Massimale e max 50k per sx/anno </t>
  </si>
  <si>
    <t>opzionale in abbinamento alla RCT</t>
  </si>
  <si>
    <t>SA: da 500 a 1.5 mil (Fino a 3 mln. RD) - 
Codici Ateco Edili max 500k</t>
  </si>
  <si>
    <t>INCLUSIVE:</t>
  </si>
  <si>
    <t xml:space="preserve">20% Massimale e max 250k per sx/anno </t>
  </si>
  <si>
    <t>SA: 150k - 250k (Fino a 500k RD)</t>
  </si>
  <si>
    <t>danni ad immobili</t>
  </si>
  <si>
    <t>danni al prodotto contenuto</t>
  </si>
  <si>
    <t>danni al prodotto finito</t>
  </si>
  <si>
    <t>danni da mancata germinazione dei sementi</t>
  </si>
  <si>
    <r>
      <t xml:space="preserve">danni da incendio </t>
    </r>
    <r>
      <rPr>
        <u/>
        <sz val="11"/>
        <color theme="3"/>
        <rFont val="Calibri"/>
        <family val="2"/>
        <scheme val="minor"/>
      </rPr>
      <t>(del prodotto)</t>
    </r>
  </si>
  <si>
    <t xml:space="preserve">danni da inquinamento accidentale </t>
  </si>
  <si>
    <t>Sezione FURTO</t>
  </si>
  <si>
    <t xml:space="preserve">opzionale </t>
  </si>
  <si>
    <t>FURTO E RAPINA E ESTORSIONE</t>
  </si>
  <si>
    <t>BASE</t>
  </si>
  <si>
    <t>da 5k a 100K a scelta cliente</t>
  </si>
  <si>
    <r>
      <t xml:space="preserve">estensioni inclusive </t>
    </r>
    <r>
      <rPr>
        <b/>
        <sz val="11"/>
        <color theme="1"/>
        <rFont val="Calibri"/>
        <family val="2"/>
        <scheme val="minor"/>
      </rPr>
      <t>(non</t>
    </r>
    <r>
      <rPr>
        <sz val="11"/>
        <color theme="1"/>
        <rFont val="Calibri"/>
        <family val="2"/>
        <scheme val="minor"/>
      </rPr>
      <t xml:space="preserve"> a pagamento)</t>
    </r>
  </si>
  <si>
    <t>di cui Valori inerenti attività ass.</t>
  </si>
  <si>
    <t>20% SA CONT con 10k SX&amp;ANNO</t>
  </si>
  <si>
    <t>In caso di Ateco relativi a commercio Ambulante - limite a 1.000€</t>
  </si>
  <si>
    <t>di cui Valori inerenti attività ass.in custodia di sicurezza</t>
  </si>
  <si>
    <t>5% SA CONT con 2k SX&amp;ANNO</t>
  </si>
  <si>
    <t>di cui guasti  cagionati dai ladri a serramenti e impianti fissi</t>
  </si>
  <si>
    <t>di cui Furto Rapina estorsione con veicoli ricoverati</t>
  </si>
  <si>
    <t>di cui Merci attrezzature trasportate</t>
  </si>
  <si>
    <t>di cui Contenuto presso terzi</t>
  </si>
  <si>
    <t xml:space="preserve">10% SA CONT </t>
  </si>
  <si>
    <t>di cui Maggiori costi</t>
  </si>
  <si>
    <t>10% indennizzo con max 5k</t>
  </si>
  <si>
    <t>di cui Rifacimento doc personali</t>
  </si>
  <si>
    <t>2k SX&amp;ANNO</t>
  </si>
  <si>
    <t xml:space="preserve">di cui Sostituzione di serrature </t>
  </si>
  <si>
    <t>di cui onorari periti</t>
  </si>
  <si>
    <r>
      <t xml:space="preserve">ESTENSIONI a pagamento con </t>
    </r>
    <r>
      <rPr>
        <b/>
        <u/>
        <sz val="11"/>
        <color rgb="FFFF0000"/>
        <rFont val="Calibri"/>
        <family val="2"/>
        <scheme val="minor"/>
      </rPr>
      <t>massimale proprio</t>
    </r>
  </si>
  <si>
    <t>da 5k a 50K a scelta cliente</t>
  </si>
  <si>
    <t>Max 2,5k</t>
  </si>
  <si>
    <t>(con specifica che si tratta di impiegato che trasporta incasso)</t>
  </si>
  <si>
    <t>cga: * SCOPERTO APPLICABILE A TUTTE LE CASISTICHE: in assenza di allarme non funzionante o NON presente, se dichiarato--&gt;si applica uno scoperto del 20%</t>
  </si>
  <si>
    <t>Sezione ELETTRONICA</t>
  </si>
  <si>
    <t>Elettronica</t>
  </si>
  <si>
    <t>DA 10K A 50K</t>
  </si>
  <si>
    <t>Apparecchiature Mobili</t>
  </si>
  <si>
    <t>15k SX&amp;ANNO</t>
  </si>
  <si>
    <t>Fissi</t>
  </si>
  <si>
    <t>50k SX&amp;ANNO</t>
  </si>
  <si>
    <t>ESTENSIONI OPZIONALI CON PREMIO AGGIUNRIVO</t>
  </si>
  <si>
    <t>Maggiori costi</t>
  </si>
  <si>
    <t>180 gg con max 500 euro gg - MAX 10k SX&amp;ANNO</t>
  </si>
  <si>
    <t>programmi in licenza d'uso</t>
  </si>
  <si>
    <t>10k SX&amp;ANNO</t>
  </si>
  <si>
    <t>supporto dati</t>
  </si>
  <si>
    <t>10% SA Elettronica - con limite 500 euro per il singolo supporto dati</t>
  </si>
  <si>
    <t>SEZIONE</t>
  </si>
  <si>
    <t>BUSINESS INTERRUPTION</t>
  </si>
  <si>
    <t>Diaria 250 - 500 - Max 25k sx/anno
1000 - 2000 - Max 50k sx/anno</t>
  </si>
  <si>
    <r>
      <rPr>
        <b/>
        <sz val="11"/>
        <color rgb="FFFF0000"/>
        <rFont val="Calibri"/>
        <family val="2"/>
        <scheme val="minor"/>
      </rPr>
      <t>N.B</t>
    </r>
    <r>
      <rPr>
        <sz val="11"/>
        <color rgb="FFFF0000"/>
        <rFont val="Calibri"/>
        <family val="2"/>
        <scheme val="minor"/>
      </rPr>
      <t>. GARANZIA "LEGATA" AL SINGOLO IMMOBILE ASSICURATO</t>
    </r>
  </si>
  <si>
    <t xml:space="preserve">Ricorda di inserire CGA: Maggiori costi </t>
  </si>
  <si>
    <t>CYBER RISK</t>
  </si>
  <si>
    <t>da 10k a 100K a scelta cliente</t>
  </si>
  <si>
    <t>Diaria 1k</t>
  </si>
  <si>
    <t>di cui Recupero dati</t>
  </si>
  <si>
    <t>sottolimte 50% limite inde. Max 50k</t>
  </si>
  <si>
    <t>Nuove esclusioni da CGA: guerra e sistemi informatici non aggiornati</t>
  </si>
  <si>
    <r>
      <t>Cyber Crime</t>
    </r>
    <r>
      <rPr>
        <sz val="11"/>
        <color rgb="FF1F497D"/>
        <rFont val="Calibri"/>
        <family val="2"/>
        <scheme val="minor"/>
      </rPr>
      <t xml:space="preserve"> e </t>
    </r>
    <r>
      <rPr>
        <b/>
        <sz val="11"/>
        <color rgb="FF1F497D"/>
        <rFont val="Calibri"/>
        <family val="2"/>
        <scheme val="minor"/>
      </rPr>
      <t xml:space="preserve">PCI-DSS: incluse nel massimale </t>
    </r>
  </si>
  <si>
    <t>Sezione Tutela</t>
  </si>
  <si>
    <t>Opzione</t>
  </si>
  <si>
    <t>A) DIFESA PENALE</t>
  </si>
  <si>
    <t>10k per evento (limite 30k annui)</t>
  </si>
  <si>
    <t>B) DIFESA PENALE-CIVILE-CIRCOLAZIONE</t>
  </si>
  <si>
    <t>25k (esteso a 50k per Difesa penale per omicidio stradale o lesioni personali gravi o gravissime e Risarcimento Danni) limite per ogni Evento denunciato o caso assicurativo, senza limite di casi per anno.</t>
  </si>
  <si>
    <t>PRESTAZIONI COME INSERIRE NELLE CGA</t>
  </si>
  <si>
    <t>ordine con cui sono state messe nelle cga</t>
  </si>
  <si>
    <t xml:space="preserve">1. Invio idraulico per interventi di emergenza </t>
  </si>
  <si>
    <t>500 euro</t>
  </si>
  <si>
    <t>2. Pronto intervento per danni d'acqua</t>
  </si>
  <si>
    <t>3. Invio elettricista per interventi di emergenza</t>
  </si>
  <si>
    <t>4. Fornitura temporanea di energia elettrica</t>
  </si>
  <si>
    <t>5. Invio fabbro per interventi di emergenza</t>
  </si>
  <si>
    <t>6. Invio serrandista per interventi di emergenza</t>
  </si>
  <si>
    <t>7. Invio vetraio per interventi di emergenza</t>
  </si>
  <si>
    <t>8. Invio sorvegliante</t>
  </si>
  <si>
    <t>9. Rientro anticipato</t>
  </si>
  <si>
    <t>300 da Italia - 500 da estero</t>
  </si>
  <si>
    <t>10. Spese di trasloco</t>
  </si>
  <si>
    <t xml:space="preserve">1.500 euro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</si>
</sst>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00_-;\-* #,##0.0000_-;_-* &quot;-&quot;??_-;_-@_-"/>
  </numFmts>
  <fonts count="3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4"/>
      <color theme="8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231F20"/>
      <name val="Microsoft Sans Serif"/>
      <family val="2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8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/>
      <sz val="11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color rgb="FF1F497D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i/>
      <sz val="11"/>
      <color theme="8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i/>
      <sz val="11"/>
      <color theme="8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Arial"/>
      <family val="2"/>
    </font>
    <font>
      <b/>
      <sz val="9"/>
      <color theme="1"/>
      <name val="Microsoft Sans Serif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35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left" vertical="center" wrapText="1"/>
    </xf>
    <xf numFmtId="0" fontId="0" fillId="0" borderId="10" xfId="0" applyBorder="1"/>
    <xf numFmtId="0" fontId="1" fillId="0" borderId="0" xfId="0" applyFont="1" applyAlignment="1">
      <alignment horizontal="center" vertical="center"/>
    </xf>
    <xf numFmtId="0" fontId="1" fillId="0" borderId="4" xfId="0" applyFont="1" applyBorder="1"/>
    <xf numFmtId="0" fontId="1" fillId="0" borderId="3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/>
    <xf numFmtId="0" fontId="0" fillId="0" borderId="7" xfId="0" applyBorder="1"/>
    <xf numFmtId="0" fontId="2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0" fillId="0" borderId="26" xfId="0" applyBorder="1" applyAlignment="1">
      <alignment horizontal="center" vertical="center" wrapText="1"/>
    </xf>
    <xf numFmtId="0" fontId="8" fillId="4" borderId="16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8" fillId="4" borderId="34" xfId="0" applyFont="1" applyFill="1" applyBorder="1" applyAlignment="1">
      <alignment horizontal="center" vertical="center" wrapText="1"/>
    </xf>
    <xf numFmtId="0" fontId="7" fillId="4" borderId="35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7" fillId="4" borderId="37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7" fillId="0" borderId="16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0" fontId="8" fillId="4" borderId="37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right"/>
    </xf>
    <xf numFmtId="0" fontId="0" fillId="0" borderId="19" xfId="0" applyBorder="1" applyAlignment="1">
      <alignment horizontal="right"/>
    </xf>
    <xf numFmtId="0" fontId="2" fillId="0" borderId="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7" fillId="4" borderId="18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10" fillId="0" borderId="0" xfId="0" applyFont="1"/>
    <xf numFmtId="0" fontId="10" fillId="0" borderId="0" xfId="0" applyFont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0" fillId="0" borderId="5" xfId="0" applyBorder="1"/>
    <xf numFmtId="0" fontId="7" fillId="0" borderId="33" xfId="0" applyFont="1" applyBorder="1" applyAlignment="1">
      <alignment horizontal="left" vertical="center" wrapText="1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8" fillId="4" borderId="36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4" fillId="0" borderId="0" xfId="0" applyFont="1"/>
    <xf numFmtId="0" fontId="1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left" vertical="center" wrapText="1"/>
    </xf>
    <xf numFmtId="0" fontId="19" fillId="0" borderId="44" xfId="0" applyFont="1" applyBorder="1" applyAlignment="1">
      <alignment horizontal="left" vertical="center" wrapText="1"/>
    </xf>
    <xf numFmtId="0" fontId="19" fillId="0" borderId="42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26" fillId="0" borderId="0" xfId="0" applyFont="1"/>
    <xf numFmtId="0" fontId="27" fillId="8" borderId="0" xfId="0" applyFont="1" applyFill="1"/>
    <xf numFmtId="0" fontId="3" fillId="0" borderId="7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left" vertical="center"/>
    </xf>
    <xf numFmtId="0" fontId="3" fillId="0" borderId="12" xfId="0" applyFont="1" applyBorder="1"/>
    <xf numFmtId="0" fontId="29" fillId="0" borderId="0" xfId="0" applyFont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18" fillId="0" borderId="1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3" fontId="4" fillId="0" borderId="47" xfId="0" applyNumberFormat="1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3" fontId="4" fillId="0" borderId="49" xfId="0" quotePrefix="1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8" fillId="0" borderId="43" xfId="0" applyFont="1" applyBorder="1" applyAlignment="1">
      <alignment horizontal="center" vertical="center"/>
    </xf>
    <xf numFmtId="0" fontId="32" fillId="0" borderId="2" xfId="0" quotePrefix="1" applyFont="1" applyBorder="1" applyAlignment="1">
      <alignment horizontal="center" vertical="center" wrapText="1"/>
    </xf>
    <xf numFmtId="0" fontId="32" fillId="0" borderId="40" xfId="0" quotePrefix="1" applyFont="1" applyBorder="1" applyAlignment="1">
      <alignment horizontal="center" vertical="center" wrapText="1"/>
    </xf>
    <xf numFmtId="0" fontId="33" fillId="0" borderId="0" xfId="0" applyFont="1" applyAlignment="1">
      <alignment wrapText="1"/>
    </xf>
    <xf numFmtId="0" fontId="1" fillId="0" borderId="43" xfId="0" applyFont="1" applyBorder="1" applyAlignment="1">
      <alignment horizontal="center" vertical="center"/>
    </xf>
    <xf numFmtId="3" fontId="1" fillId="0" borderId="40" xfId="0" applyNumberFormat="1" applyFont="1" applyBorder="1" applyAlignment="1">
      <alignment horizontal="center" vertical="center"/>
    </xf>
    <xf numFmtId="0" fontId="4" fillId="0" borderId="46" xfId="0" quotePrefix="1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8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2" fillId="0" borderId="43" xfId="0" quotePrefix="1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 wrapText="1"/>
    </xf>
    <xf numFmtId="0" fontId="33" fillId="0" borderId="31" xfId="0" applyFont="1" applyBorder="1" applyAlignment="1">
      <alignment horizontal="left" vertical="center" wrapText="1"/>
    </xf>
    <xf numFmtId="0" fontId="33" fillId="0" borderId="25" xfId="0" applyFont="1" applyBorder="1" applyAlignment="1">
      <alignment horizontal="left" vertical="center" wrapText="1"/>
    </xf>
    <xf numFmtId="0" fontId="33" fillId="0" borderId="53" xfId="0" applyFont="1" applyBorder="1" applyAlignment="1">
      <alignment horizontal="left" vertical="center" wrapText="1"/>
    </xf>
    <xf numFmtId="0" fontId="34" fillId="0" borderId="50" xfId="0" applyFont="1" applyBorder="1" applyAlignment="1">
      <alignment horizontal="center" vertical="center" wrapText="1"/>
    </xf>
    <xf numFmtId="0" fontId="34" fillId="0" borderId="46" xfId="0" applyFont="1" applyBorder="1" applyAlignment="1">
      <alignment horizontal="center" vertical="center" wrapText="1"/>
    </xf>
    <xf numFmtId="0" fontId="34" fillId="0" borderId="48" xfId="0" applyFont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35" fillId="0" borderId="0" xfId="0" quotePrefix="1" applyFont="1" applyAlignment="1">
      <alignment horizontal="left" vertical="center" wrapText="1"/>
    </xf>
    <xf numFmtId="0" fontId="35" fillId="0" borderId="0" xfId="0" applyFont="1" applyAlignment="1">
      <alignment horizontal="left" vertical="center"/>
    </xf>
    <xf numFmtId="0" fontId="4" fillId="0" borderId="50" xfId="0" quotePrefix="1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4" fillId="0" borderId="49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4" fillId="0" borderId="40" xfId="0" applyFont="1" applyBorder="1" applyAlignment="1">
      <alignment horizontal="center" vertical="center" wrapText="1"/>
    </xf>
    <xf numFmtId="0" fontId="32" fillId="0" borderId="50" xfId="0" applyFont="1" applyBorder="1" applyAlignment="1">
      <alignment horizontal="center" vertical="center" wrapText="1"/>
    </xf>
    <xf numFmtId="0" fontId="33" fillId="0" borderId="24" xfId="0" applyFont="1" applyBorder="1" applyAlignment="1">
      <alignment horizontal="left" vertical="center" wrapText="1"/>
    </xf>
    <xf numFmtId="9" fontId="4" fillId="0" borderId="47" xfId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  <xf numFmtId="0" fontId="2" fillId="0" borderId="39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38" fillId="0" borderId="7" xfId="0" applyFont="1" applyBorder="1" applyAlignment="1">
      <alignment horizontal="left" vertical="center" wrapText="1" indent="1"/>
    </xf>
    <xf numFmtId="0" fontId="38" fillId="0" borderId="10" xfId="0" applyFont="1" applyBorder="1" applyAlignment="1">
      <alignment horizontal="left" vertical="center" wrapText="1" indent="1"/>
    </xf>
    <xf numFmtId="0" fontId="38" fillId="0" borderId="12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5" fillId="0" borderId="10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quotePrefix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32" fillId="4" borderId="38" xfId="0" applyFont="1" applyFill="1" applyBorder="1" applyAlignment="1">
      <alignment horizontal="center" vertical="center" wrapText="1"/>
    </xf>
    <xf numFmtId="0" fontId="32" fillId="4" borderId="34" xfId="0" applyFont="1" applyFill="1" applyBorder="1" applyAlignment="1">
      <alignment horizontal="center" vertical="center" wrapText="1"/>
    </xf>
    <xf numFmtId="0" fontId="32" fillId="4" borderId="22" xfId="0" applyFont="1" applyFill="1" applyBorder="1" applyAlignment="1">
      <alignment horizontal="center" vertical="center" wrapText="1"/>
    </xf>
    <xf numFmtId="0" fontId="32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37" fillId="0" borderId="0" xfId="0" applyFont="1"/>
    <xf numFmtId="0" fontId="37" fillId="0" borderId="0" xfId="0" applyFont="1" applyAlignment="1">
      <alignment horizont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34" fillId="0" borderId="43" xfId="0" applyFont="1" applyBorder="1" applyAlignment="1">
      <alignment horizontal="center" vertical="center" wrapText="1"/>
    </xf>
    <xf numFmtId="0" fontId="28" fillId="8" borderId="0" xfId="0" applyFont="1" applyFill="1" applyAlignment="1">
      <alignment horizontal="left"/>
    </xf>
    <xf numFmtId="0" fontId="1" fillId="0" borderId="0" xfId="0" applyFont="1"/>
    <xf numFmtId="0" fontId="2" fillId="0" borderId="30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0" fillId="0" borderId="33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30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/>
    </xf>
    <xf numFmtId="0" fontId="0" fillId="0" borderId="45" xfId="0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0" fontId="7" fillId="4" borderId="54" xfId="0" applyFont="1" applyFill="1" applyBorder="1" applyAlignment="1">
      <alignment horizontal="left" vertical="center"/>
    </xf>
    <xf numFmtId="0" fontId="32" fillId="0" borderId="43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32" fillId="0" borderId="43" xfId="0" quotePrefix="1" applyFont="1" applyBorder="1" applyAlignment="1">
      <alignment horizontal="center" vertical="center" wrapText="1"/>
    </xf>
    <xf numFmtId="0" fontId="32" fillId="0" borderId="2" xfId="0" quotePrefix="1" applyFont="1" applyBorder="1" applyAlignment="1">
      <alignment horizontal="center" vertical="center" wrapText="1"/>
    </xf>
    <xf numFmtId="0" fontId="32" fillId="0" borderId="40" xfId="0" quotePrefix="1" applyFont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vertical="center" textRotation="90" wrapText="1"/>
    </xf>
    <xf numFmtId="0" fontId="15" fillId="4" borderId="21" xfId="0" applyFont="1" applyFill="1" applyBorder="1" applyAlignment="1">
      <alignment horizontal="center" vertical="center" textRotation="90" wrapText="1"/>
    </xf>
    <xf numFmtId="0" fontId="15" fillId="4" borderId="19" xfId="0" applyFont="1" applyFill="1" applyBorder="1" applyAlignment="1">
      <alignment horizontal="center" vertical="center" textRotation="90" wrapText="1"/>
    </xf>
    <xf numFmtId="0" fontId="8" fillId="4" borderId="4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textRotation="90" wrapText="1"/>
    </xf>
    <xf numFmtId="0" fontId="9" fillId="4" borderId="21" xfId="0" applyFont="1" applyFill="1" applyBorder="1" applyAlignment="1">
      <alignment horizontal="center" vertical="center" textRotation="90" wrapText="1"/>
    </xf>
    <xf numFmtId="0" fontId="9" fillId="4" borderId="19" xfId="0" applyFont="1" applyFill="1" applyBorder="1" applyAlignment="1">
      <alignment horizontal="center" vertical="center" textRotation="90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left" vertical="center" wrapText="1"/>
    </xf>
    <xf numFmtId="0" fontId="8" fillId="4" borderId="14" xfId="0" applyFont="1" applyFill="1" applyBorder="1" applyAlignment="1">
      <alignment horizontal="left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 textRotation="90" wrapText="1"/>
    </xf>
    <xf numFmtId="0" fontId="0" fillId="0" borderId="10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textRotation="90" wrapText="1"/>
    </xf>
    <xf numFmtId="0" fontId="25" fillId="0" borderId="0" xfId="0" quotePrefix="1" applyFont="1" applyAlignment="1">
      <alignment horizontal="left" vertical="center" wrapText="1"/>
    </xf>
    <xf numFmtId="0" fontId="1" fillId="0" borderId="20" xfId="0" applyFont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 textRotation="90" wrapText="1"/>
    </xf>
    <xf numFmtId="0" fontId="1" fillId="0" borderId="19" xfId="0" applyFont="1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1" fillId="4" borderId="6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1" fillId="7" borderId="8" xfId="0" applyFont="1" applyFill="1" applyBorder="1" applyAlignment="1">
      <alignment horizontal="center" vertical="center" textRotation="90" wrapText="1"/>
    </xf>
    <xf numFmtId="0" fontId="1" fillId="7" borderId="0" xfId="0" applyFont="1" applyFill="1" applyAlignment="1">
      <alignment horizontal="center" vertical="center" textRotation="90" wrapText="1"/>
    </xf>
    <xf numFmtId="0" fontId="1" fillId="7" borderId="13" xfId="0" applyFont="1" applyFill="1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textRotation="49"/>
    </xf>
    <xf numFmtId="0" fontId="0" fillId="0" borderId="11" xfId="0" applyBorder="1" applyAlignment="1">
      <alignment horizontal="center" vertical="center" textRotation="49"/>
    </xf>
    <xf numFmtId="0" fontId="0" fillId="0" borderId="14" xfId="0" applyBorder="1" applyAlignment="1">
      <alignment horizontal="center" vertical="center" textRotation="49"/>
    </xf>
    <xf numFmtId="0" fontId="0" fillId="0" borderId="10" xfId="0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textRotation="89" wrapText="1"/>
    </xf>
    <xf numFmtId="0" fontId="0" fillId="3" borderId="21" xfId="0" applyFill="1" applyBorder="1" applyAlignment="1">
      <alignment horizontal="center" vertical="center" textRotation="89" wrapText="1"/>
    </xf>
    <xf numFmtId="0" fontId="0" fillId="3" borderId="19" xfId="0" applyFill="1" applyBorder="1" applyAlignment="1">
      <alignment horizontal="center" vertical="center" textRotation="89" wrapText="1"/>
    </xf>
  </cellXfs>
  <cellStyles count="3">
    <cellStyle name="Migliaia" xfId="2" builtinId="3"/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chele Lomazzi" id="{692E8D52-5283-4932-BBC8-73BD7D5A17B9}" userId="S::michele.lomazzi@wopta.it::fcbd8e66-37e1-4957-9c87-409860105f3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2-04-15T12:44:18.87" personId="{692E8D52-5283-4932-BBC8-73BD7D5A17B9}" id="{D79C4316-0A1B-4F2B-A337-60C9722FD512}">
    <text>Per trasparenza verso il cliente:
1. limite di indennizzo per numero di giorni
2. limite di indennizzo in somma
non è trasparente vendere una garanzia con indennizzo max 90gg ma poi  se scelgo 2k al giorno il max indennizzo è di 12 giorni.
come proposto meglio ridurre eventualmente gli indennizzi giornalieri a 250 500 1000 e conservare limite indennizzo di 90gg</text>
  </threadedComment>
  <threadedComment ref="D4" dT="2022-05-05T14:45:20.84" personId="{692E8D52-5283-4932-BBC8-73BD7D5A17B9}" id="{28EA30AA-435B-42D1-B517-167A964D9DF1}" parentId="{D79C4316-0A1B-4F2B-A337-60C9722FD512}">
    <text>si propne max differenziato per diaria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D616-C256-4D56-A81F-F5DEFD819850}">
  <sheetPr>
    <tabColor rgb="FFFFC000"/>
  </sheetPr>
  <dimension ref="A1:M77"/>
  <sheetViews>
    <sheetView showGridLines="0" zoomScale="80" zoomScaleNormal="80" workbookViewId="0">
      <selection activeCell="B9" sqref="B9:D10"/>
    </sheetView>
  </sheetViews>
  <sheetFormatPr defaultRowHeight="14.1"/>
  <cols>
    <col min="1" max="1" width="41" style="4" customWidth="1"/>
    <col min="2" max="4" width="16.42578125" style="132" customWidth="1"/>
    <col min="5" max="5" width="16.42578125" style="49" customWidth="1"/>
    <col min="6" max="7" width="16.85546875" style="49" customWidth="1"/>
    <col min="8" max="8" width="28.28515625" style="162" customWidth="1"/>
    <col min="9" max="9" width="28.5703125" customWidth="1"/>
    <col min="10" max="10" width="24.42578125" customWidth="1"/>
    <col min="11" max="11" width="21.85546875" customWidth="1"/>
    <col min="12" max="12" width="26.28515625" customWidth="1"/>
    <col min="13" max="13" width="22.140625" customWidth="1"/>
  </cols>
  <sheetData>
    <row r="1" spans="1:13" ht="28.7">
      <c r="A1" s="142" t="s">
        <v>0</v>
      </c>
    </row>
    <row r="3" spans="1:13" ht="20.100000000000001" customHeight="1">
      <c r="A3" s="58" t="s">
        <v>1</v>
      </c>
      <c r="B3" s="138" t="s">
        <v>2</v>
      </c>
      <c r="C3" s="138" t="s">
        <v>3</v>
      </c>
      <c r="D3" s="138" t="s">
        <v>4</v>
      </c>
      <c r="E3" s="138" t="s">
        <v>5</v>
      </c>
      <c r="F3" s="138" t="s">
        <v>6</v>
      </c>
      <c r="G3" s="138" t="s">
        <v>7</v>
      </c>
      <c r="H3" s="172"/>
      <c r="J3" s="190" t="s">
        <v>8</v>
      </c>
    </row>
    <row r="4" spans="1:13" s="1" customFormat="1" ht="14.45">
      <c r="A4" s="139" t="s">
        <v>9</v>
      </c>
      <c r="B4" s="149" t="s">
        <v>10</v>
      </c>
      <c r="C4" s="140" t="s">
        <v>11</v>
      </c>
      <c r="D4" s="140" t="s">
        <v>12</v>
      </c>
      <c r="E4" s="140" t="s">
        <v>13</v>
      </c>
      <c r="F4" s="140" t="s">
        <v>14</v>
      </c>
      <c r="G4" s="141" t="s">
        <v>15</v>
      </c>
      <c r="H4" s="173"/>
    </row>
    <row r="5" spans="1:13" s="1" customFormat="1" ht="21">
      <c r="A5" s="249" t="s">
        <v>16</v>
      </c>
      <c r="B5" s="250"/>
      <c r="C5" s="250"/>
      <c r="D5" s="250"/>
      <c r="E5" s="250"/>
      <c r="F5" s="250"/>
      <c r="G5" s="251"/>
      <c r="H5" s="171" t="s">
        <v>17</v>
      </c>
      <c r="J5" s="247" t="s">
        <v>18</v>
      </c>
      <c r="K5" s="248"/>
      <c r="L5" s="247" t="s">
        <v>19</v>
      </c>
      <c r="M5" s="248"/>
    </row>
    <row r="6" spans="1:13" ht="14.45">
      <c r="A6" s="175" t="s">
        <v>20</v>
      </c>
      <c r="B6" s="157">
        <v>0</v>
      </c>
      <c r="C6" s="158">
        <v>500</v>
      </c>
      <c r="D6" s="158" t="s">
        <v>21</v>
      </c>
      <c r="E6" s="158" t="s">
        <v>22</v>
      </c>
      <c r="F6" s="158" t="s">
        <v>23</v>
      </c>
      <c r="G6" s="176" t="s">
        <v>24</v>
      </c>
      <c r="H6" s="162" t="s">
        <v>25</v>
      </c>
      <c r="J6" s="143" t="s">
        <v>26</v>
      </c>
      <c r="K6" s="144">
        <v>5000</v>
      </c>
      <c r="L6" s="143" t="s">
        <v>26</v>
      </c>
      <c r="M6" s="144">
        <v>500</v>
      </c>
    </row>
    <row r="7" spans="1:13" ht="15" customHeight="1">
      <c r="A7" s="146" t="s">
        <v>27</v>
      </c>
      <c r="B7" s="146" t="s">
        <v>28</v>
      </c>
      <c r="C7" s="132" t="str">
        <f>+B7</f>
        <v>10% - min 1k</v>
      </c>
      <c r="D7" s="132" t="s">
        <v>28</v>
      </c>
      <c r="E7" s="132" t="s">
        <v>29</v>
      </c>
      <c r="F7" s="132" t="s">
        <v>30</v>
      </c>
      <c r="G7" s="177" t="s">
        <v>31</v>
      </c>
      <c r="H7" s="162" t="s">
        <v>18</v>
      </c>
      <c r="J7" s="134" t="s">
        <v>32</v>
      </c>
      <c r="K7" s="135">
        <v>5000</v>
      </c>
      <c r="L7" s="134" t="s">
        <v>33</v>
      </c>
      <c r="M7" s="135">
        <v>200000</v>
      </c>
    </row>
    <row r="8" spans="1:13" ht="14.45">
      <c r="A8" s="146" t="s">
        <v>34</v>
      </c>
      <c r="B8" s="146">
        <v>250</v>
      </c>
      <c r="C8" s="132">
        <v>500</v>
      </c>
      <c r="D8" s="132" t="s">
        <v>21</v>
      </c>
      <c r="E8" s="132" t="s">
        <v>22</v>
      </c>
      <c r="F8" s="132" t="s">
        <v>23</v>
      </c>
      <c r="G8" s="177" t="s">
        <v>24</v>
      </c>
      <c r="H8" s="162" t="s">
        <v>25</v>
      </c>
      <c r="J8" s="134" t="s">
        <v>35</v>
      </c>
      <c r="K8" s="135">
        <v>7500</v>
      </c>
      <c r="L8" s="134" t="s">
        <v>35</v>
      </c>
      <c r="M8" s="135">
        <v>20000</v>
      </c>
    </row>
    <row r="9" spans="1:13">
      <c r="A9" s="146" t="s">
        <v>36</v>
      </c>
      <c r="B9" s="146" t="s">
        <v>37</v>
      </c>
      <c r="C9" s="132" t="s">
        <v>37</v>
      </c>
      <c r="D9" s="132" t="s">
        <v>28</v>
      </c>
      <c r="E9" s="132" t="s">
        <v>29</v>
      </c>
      <c r="F9" s="132" t="s">
        <v>30</v>
      </c>
      <c r="G9" s="177" t="s">
        <v>31</v>
      </c>
      <c r="H9" s="162" t="s">
        <v>18</v>
      </c>
      <c r="J9" s="134" t="s">
        <v>38</v>
      </c>
      <c r="K9" s="189">
        <v>0.15</v>
      </c>
      <c r="L9" s="134" t="s">
        <v>38</v>
      </c>
      <c r="M9" s="189">
        <v>0.05</v>
      </c>
    </row>
    <row r="10" spans="1:13">
      <c r="A10" s="146" t="s">
        <v>39</v>
      </c>
      <c r="B10" s="146" t="s">
        <v>40</v>
      </c>
      <c r="C10" s="132" t="s">
        <v>40</v>
      </c>
      <c r="D10" s="132" t="s">
        <v>40</v>
      </c>
      <c r="E10" s="132" t="s">
        <v>29</v>
      </c>
      <c r="F10" s="132" t="s">
        <v>30</v>
      </c>
      <c r="G10" s="177" t="s">
        <v>31</v>
      </c>
      <c r="H10" s="162" t="s">
        <v>41</v>
      </c>
      <c r="J10" s="134" t="s">
        <v>42</v>
      </c>
      <c r="K10" s="135">
        <f>+MAX(K9*K8,K6)</f>
        <v>5000</v>
      </c>
      <c r="L10" s="134" t="s">
        <v>42</v>
      </c>
      <c r="M10" s="135">
        <f>MAX((M9*M7),M6)</f>
        <v>10000</v>
      </c>
    </row>
    <row r="11" spans="1:13">
      <c r="A11" s="146" t="s">
        <v>43</v>
      </c>
      <c r="B11" s="146" t="s">
        <v>44</v>
      </c>
      <c r="C11" s="132" t="s">
        <v>44</v>
      </c>
      <c r="D11" s="132" t="s">
        <v>45</v>
      </c>
      <c r="E11" s="132" t="s">
        <v>29</v>
      </c>
      <c r="F11" s="132" t="s">
        <v>30</v>
      </c>
      <c r="G11" s="177" t="s">
        <v>46</v>
      </c>
      <c r="H11" s="162" t="s">
        <v>18</v>
      </c>
      <c r="J11" s="136" t="s">
        <v>47</v>
      </c>
      <c r="K11" s="137">
        <f>MAX(MIN(K8-K10,K7),0)</f>
        <v>2500</v>
      </c>
      <c r="L11" s="136" t="s">
        <v>47</v>
      </c>
      <c r="M11" s="137">
        <f>+MAX(MIN(M8-M10,M7),0)</f>
        <v>10000</v>
      </c>
    </row>
    <row r="12" spans="1:13">
      <c r="A12" s="146" t="s">
        <v>48</v>
      </c>
      <c r="B12" s="146" t="s">
        <v>44</v>
      </c>
      <c r="C12" s="132" t="s">
        <v>44</v>
      </c>
      <c r="D12" s="132" t="s">
        <v>45</v>
      </c>
      <c r="E12" s="132" t="s">
        <v>29</v>
      </c>
      <c r="F12" s="132" t="s">
        <v>30</v>
      </c>
      <c r="G12" s="177" t="s">
        <v>46</v>
      </c>
      <c r="H12" s="162" t="s">
        <v>18</v>
      </c>
    </row>
    <row r="13" spans="1:13">
      <c r="A13" s="146" t="s">
        <v>49</v>
      </c>
      <c r="B13" s="146" t="s">
        <v>44</v>
      </c>
      <c r="C13" s="132" t="s">
        <v>44</v>
      </c>
      <c r="D13" s="132" t="s">
        <v>45</v>
      </c>
      <c r="E13" s="132" t="s">
        <v>29</v>
      </c>
      <c r="F13" s="132" t="s">
        <v>30</v>
      </c>
      <c r="G13" s="177" t="s">
        <v>31</v>
      </c>
      <c r="H13" s="162" t="s">
        <v>19</v>
      </c>
    </row>
    <row r="14" spans="1:13" ht="21">
      <c r="A14" s="146" t="s">
        <v>50</v>
      </c>
      <c r="B14" s="146" t="s">
        <v>44</v>
      </c>
      <c r="C14" s="132" t="s">
        <v>44</v>
      </c>
      <c r="D14" s="132" t="s">
        <v>45</v>
      </c>
      <c r="E14" s="132" t="s">
        <v>29</v>
      </c>
      <c r="F14" s="132" t="s">
        <v>30</v>
      </c>
      <c r="G14" s="177" t="s">
        <v>31</v>
      </c>
      <c r="H14" s="162" t="s">
        <v>19</v>
      </c>
      <c r="J14" s="247" t="s">
        <v>51</v>
      </c>
      <c r="K14" s="248"/>
      <c r="L14" s="247" t="s">
        <v>52</v>
      </c>
      <c r="M14" s="248"/>
    </row>
    <row r="15" spans="1:13">
      <c r="A15" s="146" t="s">
        <v>53</v>
      </c>
      <c r="B15" s="146" t="s">
        <v>44</v>
      </c>
      <c r="C15" s="132" t="s">
        <v>44</v>
      </c>
      <c r="D15" s="132" t="s">
        <v>45</v>
      </c>
      <c r="E15" s="132" t="s">
        <v>29</v>
      </c>
      <c r="F15" s="132" t="s">
        <v>30</v>
      </c>
      <c r="G15" s="177" t="s">
        <v>31</v>
      </c>
      <c r="H15" s="162" t="s">
        <v>19</v>
      </c>
      <c r="J15" s="143" t="s">
        <v>26</v>
      </c>
      <c r="K15" s="144">
        <v>500</v>
      </c>
      <c r="L15" s="143" t="s">
        <v>26</v>
      </c>
      <c r="M15" s="144">
        <v>5000</v>
      </c>
    </row>
    <row r="16" spans="1:13">
      <c r="A16" s="145" t="s">
        <v>54</v>
      </c>
      <c r="B16" s="146">
        <v>0</v>
      </c>
      <c r="C16" s="133">
        <f>+C6</f>
        <v>500</v>
      </c>
      <c r="D16" s="132" t="s">
        <v>21</v>
      </c>
      <c r="E16" s="132" t="s">
        <v>22</v>
      </c>
      <c r="F16" s="132" t="s">
        <v>23</v>
      </c>
      <c r="G16" s="178" t="s">
        <v>24</v>
      </c>
      <c r="H16" s="162" t="s">
        <v>55</v>
      </c>
      <c r="J16" s="134" t="s">
        <v>32</v>
      </c>
      <c r="K16" s="135">
        <v>1000</v>
      </c>
      <c r="L16" s="134" t="s">
        <v>33</v>
      </c>
      <c r="M16" s="135">
        <v>100000</v>
      </c>
    </row>
    <row r="17" spans="1:13">
      <c r="A17" s="145" t="s">
        <v>56</v>
      </c>
      <c r="B17" s="145" t="s">
        <v>57</v>
      </c>
      <c r="C17" s="133" t="str">
        <f>+B17</f>
        <v>1,5k</v>
      </c>
      <c r="D17" s="132" t="str">
        <f>+B17</f>
        <v>1,5k</v>
      </c>
      <c r="E17" s="132" t="s">
        <v>22</v>
      </c>
      <c r="F17" s="132" t="s">
        <v>23</v>
      </c>
      <c r="G17" s="178" t="s">
        <v>24</v>
      </c>
      <c r="H17" s="162" t="s">
        <v>55</v>
      </c>
      <c r="J17" s="134" t="s">
        <v>35</v>
      </c>
      <c r="K17" s="135">
        <v>2000</v>
      </c>
      <c r="L17" s="134" t="s">
        <v>35</v>
      </c>
      <c r="M17" s="135">
        <v>130000</v>
      </c>
    </row>
    <row r="18" spans="1:13">
      <c r="A18" s="147" t="s">
        <v>58</v>
      </c>
      <c r="B18" s="150">
        <v>500</v>
      </c>
      <c r="C18" s="148">
        <f>+C6</f>
        <v>500</v>
      </c>
      <c r="D18" s="148" t="s">
        <v>21</v>
      </c>
      <c r="E18" s="148" t="s">
        <v>22</v>
      </c>
      <c r="F18" s="148" t="s">
        <v>23</v>
      </c>
      <c r="G18" s="179" t="s">
        <v>24</v>
      </c>
      <c r="H18" s="162" t="s">
        <v>55</v>
      </c>
      <c r="J18" s="134" t="s">
        <v>59</v>
      </c>
      <c r="K18" s="135">
        <v>500</v>
      </c>
      <c r="L18" s="134" t="s">
        <v>60</v>
      </c>
      <c r="M18" s="189">
        <v>0.1</v>
      </c>
    </row>
    <row r="19" spans="1:13">
      <c r="A19" s="49"/>
      <c r="B19" s="222" t="s">
        <v>61</v>
      </c>
      <c r="C19" s="223"/>
      <c r="D19" s="223"/>
      <c r="E19" s="223"/>
      <c r="F19" s="223"/>
      <c r="G19" s="223"/>
      <c r="J19" s="134" t="s">
        <v>42</v>
      </c>
      <c r="K19" s="135">
        <f>+MAX(K18,K15)</f>
        <v>500</v>
      </c>
      <c r="L19" s="134" t="s">
        <v>42</v>
      </c>
      <c r="M19" s="135">
        <f>+MAX(M18*M16,M15)</f>
        <v>10000</v>
      </c>
    </row>
    <row r="20" spans="1:13" ht="20.100000000000001" customHeight="1">
      <c r="A20" s="249" t="s">
        <v>62</v>
      </c>
      <c r="B20" s="250"/>
      <c r="C20" s="250"/>
      <c r="D20" s="250"/>
      <c r="E20" s="250"/>
      <c r="F20" s="250"/>
      <c r="G20" s="251"/>
      <c r="H20" s="174"/>
      <c r="J20" s="136" t="s">
        <v>47</v>
      </c>
      <c r="K20" s="137">
        <f>+MIN(MAX(K17-K19,0),K16)</f>
        <v>1000</v>
      </c>
      <c r="L20" s="136" t="s">
        <v>47</v>
      </c>
      <c r="M20" s="137">
        <f>+MAX(MIN(M17-M19,M16),0)</f>
        <v>100000</v>
      </c>
    </row>
    <row r="21" spans="1:13" ht="22.7" customHeight="1">
      <c r="A21" s="252" t="s">
        <v>63</v>
      </c>
      <c r="B21" s="253"/>
      <c r="C21" s="253"/>
      <c r="D21" s="253"/>
      <c r="E21" s="253"/>
      <c r="F21" s="253"/>
      <c r="G21" s="254"/>
    </row>
    <row r="22" spans="1:13" ht="22.7" customHeight="1">
      <c r="A22" s="187" t="s">
        <v>63</v>
      </c>
      <c r="B22" s="157">
        <v>500</v>
      </c>
      <c r="C22" s="158">
        <v>500</v>
      </c>
      <c r="D22" s="158" t="s">
        <v>21</v>
      </c>
      <c r="E22" s="158" t="s">
        <v>22</v>
      </c>
      <c r="F22" s="158" t="s">
        <v>23</v>
      </c>
      <c r="G22" s="176" t="s">
        <v>24</v>
      </c>
      <c r="H22" s="162" t="s">
        <v>25</v>
      </c>
    </row>
    <row r="23" spans="1:13" ht="22.7" customHeight="1">
      <c r="A23" s="151" t="s">
        <v>64</v>
      </c>
      <c r="B23" s="146" t="s">
        <v>57</v>
      </c>
      <c r="C23" s="132" t="s">
        <v>57</v>
      </c>
      <c r="D23" s="132" t="s">
        <v>57</v>
      </c>
      <c r="E23" s="132" t="s">
        <v>22</v>
      </c>
      <c r="F23" s="132" t="s">
        <v>23</v>
      </c>
      <c r="G23" s="177" t="s">
        <v>24</v>
      </c>
      <c r="H23" s="162" t="s">
        <v>25</v>
      </c>
    </row>
    <row r="24" spans="1:13" ht="15.75" customHeight="1">
      <c r="A24" s="152" t="s">
        <v>65</v>
      </c>
      <c r="B24" s="146">
        <v>500</v>
      </c>
      <c r="C24" s="132">
        <v>500</v>
      </c>
      <c r="D24" s="132" t="s">
        <v>21</v>
      </c>
      <c r="E24" s="132" t="s">
        <v>22</v>
      </c>
      <c r="F24" s="132" t="s">
        <v>23</v>
      </c>
      <c r="G24" s="177" t="s">
        <v>24</v>
      </c>
      <c r="H24" s="162" t="s">
        <v>25</v>
      </c>
    </row>
    <row r="25" spans="1:13">
      <c r="A25" s="152" t="s">
        <v>66</v>
      </c>
      <c r="B25" s="146">
        <v>500</v>
      </c>
      <c r="C25" s="132">
        <v>500</v>
      </c>
      <c r="D25" s="132" t="s">
        <v>21</v>
      </c>
      <c r="E25" s="132" t="s">
        <v>22</v>
      </c>
      <c r="F25" s="132" t="s">
        <v>23</v>
      </c>
      <c r="G25" s="177" t="s">
        <v>24</v>
      </c>
      <c r="H25" s="162" t="s">
        <v>25</v>
      </c>
    </row>
    <row r="26" spans="1:13">
      <c r="A26" s="152" t="s">
        <v>67</v>
      </c>
      <c r="B26" s="146">
        <v>500</v>
      </c>
      <c r="C26" s="132">
        <v>500</v>
      </c>
      <c r="D26" s="132" t="s">
        <v>21</v>
      </c>
      <c r="E26" s="132" t="s">
        <v>22</v>
      </c>
      <c r="F26" s="132" t="s">
        <v>23</v>
      </c>
      <c r="G26" s="177" t="s">
        <v>24</v>
      </c>
      <c r="H26" s="162" t="s">
        <v>25</v>
      </c>
    </row>
    <row r="27" spans="1:13">
      <c r="A27" s="152" t="s">
        <v>68</v>
      </c>
      <c r="B27" s="146">
        <v>500</v>
      </c>
      <c r="C27" s="132">
        <v>500</v>
      </c>
      <c r="D27" s="132" t="s">
        <v>21</v>
      </c>
      <c r="E27" s="132" t="s">
        <v>22</v>
      </c>
      <c r="F27" s="132" t="s">
        <v>23</v>
      </c>
      <c r="G27" s="177" t="s">
        <v>24</v>
      </c>
      <c r="H27" s="162" t="s">
        <v>25</v>
      </c>
    </row>
    <row r="28" spans="1:13" ht="31.9" customHeight="1">
      <c r="A28" s="152" t="s">
        <v>69</v>
      </c>
      <c r="B28" s="146" t="s">
        <v>37</v>
      </c>
      <c r="C28" s="132" t="s">
        <v>37</v>
      </c>
      <c r="D28" s="132" t="s">
        <v>28</v>
      </c>
      <c r="E28" s="132" t="s">
        <v>29</v>
      </c>
      <c r="F28" s="132" t="s">
        <v>30</v>
      </c>
      <c r="G28" s="177" t="s">
        <v>31</v>
      </c>
      <c r="H28" s="162" t="s">
        <v>18</v>
      </c>
    </row>
    <row r="29" spans="1:13" ht="46.7" customHeight="1">
      <c r="A29" s="152" t="s">
        <v>70</v>
      </c>
      <c r="B29" s="146" t="s">
        <v>37</v>
      </c>
      <c r="C29" s="132" t="s">
        <v>37</v>
      </c>
      <c r="D29" s="132" t="s">
        <v>28</v>
      </c>
      <c r="E29" s="132" t="s">
        <v>29</v>
      </c>
      <c r="F29" s="132" t="s">
        <v>30</v>
      </c>
      <c r="G29" s="177" t="s">
        <v>31</v>
      </c>
      <c r="H29" s="162" t="s">
        <v>18</v>
      </c>
    </row>
    <row r="30" spans="1:13">
      <c r="A30" s="152" t="s">
        <v>71</v>
      </c>
      <c r="B30" s="146">
        <v>500</v>
      </c>
      <c r="C30" s="132">
        <v>500</v>
      </c>
      <c r="D30" s="132" t="s">
        <v>21</v>
      </c>
      <c r="E30" s="132" t="s">
        <v>22</v>
      </c>
      <c r="F30" s="132" t="s">
        <v>23</v>
      </c>
      <c r="G30" s="177" t="s">
        <v>24</v>
      </c>
      <c r="H30" s="162" t="s">
        <v>25</v>
      </c>
    </row>
    <row r="31" spans="1:13">
      <c r="A31" s="152" t="s">
        <v>72</v>
      </c>
      <c r="B31" s="146" t="s">
        <v>28</v>
      </c>
      <c r="C31" s="132" t="s">
        <v>28</v>
      </c>
      <c r="D31" s="132" t="s">
        <v>28</v>
      </c>
      <c r="E31" s="132" t="s">
        <v>29</v>
      </c>
      <c r="F31" s="132" t="s">
        <v>30</v>
      </c>
      <c r="G31" s="177" t="s">
        <v>31</v>
      </c>
      <c r="H31" s="162" t="s">
        <v>18</v>
      </c>
    </row>
    <row r="32" spans="1:13">
      <c r="A32" s="152" t="s">
        <v>73</v>
      </c>
      <c r="B32" s="146" t="s">
        <v>37</v>
      </c>
      <c r="C32" s="132" t="s">
        <v>37</v>
      </c>
      <c r="D32" s="132" t="s">
        <v>28</v>
      </c>
      <c r="E32" s="132" t="s">
        <v>29</v>
      </c>
      <c r="F32" s="132" t="s">
        <v>30</v>
      </c>
      <c r="G32" s="177" t="s">
        <v>31</v>
      </c>
      <c r="H32" s="162" t="s">
        <v>18</v>
      </c>
    </row>
    <row r="33" spans="1:13">
      <c r="A33" s="159" t="s">
        <v>74</v>
      </c>
      <c r="B33" s="150">
        <f>+B30</f>
        <v>500</v>
      </c>
      <c r="C33" s="148">
        <v>500</v>
      </c>
      <c r="D33" s="148" t="s">
        <v>21</v>
      </c>
      <c r="E33" s="148" t="s">
        <v>22</v>
      </c>
      <c r="F33" s="148" t="s">
        <v>23</v>
      </c>
      <c r="G33" s="180" t="s">
        <v>23</v>
      </c>
      <c r="H33" s="162" t="s">
        <v>25</v>
      </c>
    </row>
    <row r="34" spans="1:13">
      <c r="A34" s="244" t="s">
        <v>75</v>
      </c>
      <c r="B34" s="245"/>
      <c r="C34" s="245"/>
      <c r="D34" s="245"/>
      <c r="E34" s="245"/>
      <c r="F34" s="245"/>
      <c r="G34" s="246"/>
    </row>
    <row r="35" spans="1:13">
      <c r="A35" s="153" t="s">
        <v>76</v>
      </c>
      <c r="B35" s="154" t="s">
        <v>37</v>
      </c>
      <c r="C35" s="155" t="s">
        <v>28</v>
      </c>
      <c r="D35" s="155" t="s">
        <v>28</v>
      </c>
      <c r="E35" s="155" t="s">
        <v>29</v>
      </c>
      <c r="F35" s="155" t="s">
        <v>30</v>
      </c>
      <c r="G35" s="186" t="s">
        <v>31</v>
      </c>
      <c r="H35" s="162" t="s">
        <v>18</v>
      </c>
    </row>
    <row r="36" spans="1:13">
      <c r="A36" s="153" t="s">
        <v>77</v>
      </c>
      <c r="B36" s="154" t="s">
        <v>24</v>
      </c>
      <c r="C36" s="155" t="s">
        <v>24</v>
      </c>
      <c r="D36" s="155" t="s">
        <v>24</v>
      </c>
      <c r="E36" s="155" t="s">
        <v>24</v>
      </c>
      <c r="F36" s="155" t="s">
        <v>24</v>
      </c>
      <c r="G36" s="186" t="s">
        <v>24</v>
      </c>
      <c r="H36" s="162" t="s">
        <v>78</v>
      </c>
    </row>
    <row r="37" spans="1:13">
      <c r="A37" s="153"/>
      <c r="B37" s="155"/>
      <c r="C37" s="155"/>
      <c r="D37" s="155"/>
      <c r="E37" s="155"/>
      <c r="F37" s="155"/>
      <c r="G37" s="186"/>
    </row>
    <row r="38" spans="1:13" ht="30.75" customHeight="1">
      <c r="A38" s="252" t="s">
        <v>79</v>
      </c>
      <c r="B38" s="253"/>
      <c r="C38" s="253"/>
      <c r="D38" s="253"/>
      <c r="E38" s="253"/>
      <c r="F38" s="253"/>
      <c r="G38" s="254"/>
    </row>
    <row r="39" spans="1:13">
      <c r="A39" s="153" t="s">
        <v>80</v>
      </c>
      <c r="B39" s="154" t="s">
        <v>31</v>
      </c>
      <c r="C39" s="155" t="s">
        <v>31</v>
      </c>
      <c r="D39" s="155" t="s">
        <v>31</v>
      </c>
      <c r="E39" s="155" t="s">
        <v>31</v>
      </c>
      <c r="F39" s="155" t="s">
        <v>31</v>
      </c>
      <c r="G39" s="186" t="s">
        <v>31</v>
      </c>
      <c r="H39" s="162" t="s">
        <v>18</v>
      </c>
    </row>
    <row r="40" spans="1:13" ht="26.65" customHeight="1">
      <c r="A40" s="252" t="s">
        <v>81</v>
      </c>
      <c r="B40" s="253"/>
      <c r="C40" s="253"/>
      <c r="D40" s="253"/>
      <c r="E40" s="253"/>
      <c r="F40" s="253"/>
      <c r="G40" s="254"/>
    </row>
    <row r="41" spans="1:13">
      <c r="A41" s="156" t="s">
        <v>81</v>
      </c>
      <c r="B41" s="157" t="s">
        <v>21</v>
      </c>
      <c r="C41" s="158" t="s">
        <v>21</v>
      </c>
      <c r="D41" s="158" t="s">
        <v>21</v>
      </c>
      <c r="E41" s="158" t="s">
        <v>22</v>
      </c>
      <c r="F41" s="158" t="s">
        <v>23</v>
      </c>
      <c r="G41" s="176" t="s">
        <v>24</v>
      </c>
      <c r="H41" s="162" t="s">
        <v>25</v>
      </c>
    </row>
    <row r="42" spans="1:13">
      <c r="A42" s="152" t="s">
        <v>82</v>
      </c>
      <c r="B42" s="146" t="s">
        <v>28</v>
      </c>
      <c r="C42" s="132" t="s">
        <v>28</v>
      </c>
      <c r="D42" s="132" t="s">
        <v>28</v>
      </c>
      <c r="E42" s="132" t="s">
        <v>29</v>
      </c>
      <c r="F42" s="132" t="s">
        <v>30</v>
      </c>
      <c r="G42" s="177" t="s">
        <v>31</v>
      </c>
      <c r="H42" s="162" t="s">
        <v>18</v>
      </c>
    </row>
    <row r="43" spans="1:13">
      <c r="A43" s="152" t="s">
        <v>83</v>
      </c>
      <c r="B43" s="146" t="s">
        <v>28</v>
      </c>
      <c r="C43" s="132" t="s">
        <v>28</v>
      </c>
      <c r="D43" s="132" t="s">
        <v>28</v>
      </c>
      <c r="E43" s="132" t="s">
        <v>29</v>
      </c>
      <c r="F43" s="132" t="s">
        <v>30</v>
      </c>
      <c r="G43" s="177" t="s">
        <v>31</v>
      </c>
      <c r="H43" s="162" t="s">
        <v>18</v>
      </c>
    </row>
    <row r="44" spans="1:13">
      <c r="A44" s="152" t="s">
        <v>84</v>
      </c>
      <c r="B44" s="146" t="s">
        <v>28</v>
      </c>
      <c r="C44" s="132" t="s">
        <v>28</v>
      </c>
      <c r="D44" s="132" t="s">
        <v>28</v>
      </c>
      <c r="E44" s="132" t="s">
        <v>29</v>
      </c>
      <c r="F44" s="132" t="s">
        <v>30</v>
      </c>
      <c r="G44" s="177" t="s">
        <v>31</v>
      </c>
      <c r="H44" s="162" t="s">
        <v>18</v>
      </c>
    </row>
    <row r="45" spans="1:13" s="70" customFormat="1" ht="27.95">
      <c r="A45" s="152" t="s">
        <v>85</v>
      </c>
      <c r="B45" s="146" t="s">
        <v>86</v>
      </c>
      <c r="C45" s="132" t="s">
        <v>86</v>
      </c>
      <c r="D45" s="132" t="s">
        <v>86</v>
      </c>
      <c r="E45" s="132" t="s">
        <v>86</v>
      </c>
      <c r="F45" s="132" t="s">
        <v>30</v>
      </c>
      <c r="G45" s="177" t="s">
        <v>31</v>
      </c>
      <c r="H45" s="162" t="s">
        <v>18</v>
      </c>
      <c r="J45"/>
      <c r="K45"/>
      <c r="L45"/>
      <c r="M45"/>
    </row>
    <row r="46" spans="1:13" s="70" customFormat="1">
      <c r="A46" s="152" t="s">
        <v>87</v>
      </c>
      <c r="B46" s="146" t="s">
        <v>31</v>
      </c>
      <c r="C46" s="132" t="s">
        <v>31</v>
      </c>
      <c r="D46" s="132" t="s">
        <v>31</v>
      </c>
      <c r="E46" s="132" t="s">
        <v>31</v>
      </c>
      <c r="F46" s="132" t="s">
        <v>31</v>
      </c>
      <c r="G46" s="177" t="s">
        <v>31</v>
      </c>
      <c r="H46" s="162" t="s">
        <v>18</v>
      </c>
    </row>
    <row r="47" spans="1:13">
      <c r="A47" s="152" t="s">
        <v>88</v>
      </c>
      <c r="B47" s="146" t="s">
        <v>31</v>
      </c>
      <c r="C47" s="132" t="s">
        <v>31</v>
      </c>
      <c r="D47" s="132" t="s">
        <v>31</v>
      </c>
      <c r="E47" s="132" t="s">
        <v>31</v>
      </c>
      <c r="F47" s="132" t="s">
        <v>31</v>
      </c>
      <c r="G47" s="177" t="s">
        <v>31</v>
      </c>
      <c r="H47" s="162" t="s">
        <v>18</v>
      </c>
      <c r="J47" s="70"/>
      <c r="K47" s="70"/>
      <c r="L47" s="70"/>
      <c r="M47" s="70"/>
    </row>
    <row r="48" spans="1:13">
      <c r="A48" s="159" t="s">
        <v>89</v>
      </c>
      <c r="B48" s="150" t="s">
        <v>31</v>
      </c>
      <c r="C48" s="148" t="s">
        <v>31</v>
      </c>
      <c r="D48" s="148" t="s">
        <v>31</v>
      </c>
      <c r="E48" s="148" t="s">
        <v>31</v>
      </c>
      <c r="F48" s="148" t="s">
        <v>31</v>
      </c>
      <c r="G48" s="180" t="s">
        <v>31</v>
      </c>
      <c r="H48" s="162" t="s">
        <v>18</v>
      </c>
    </row>
    <row r="49" spans="1:8" ht="22.7" customHeight="1">
      <c r="A49" s="252" t="s">
        <v>90</v>
      </c>
      <c r="B49" s="253"/>
      <c r="C49" s="253"/>
      <c r="D49" s="253"/>
      <c r="E49" s="253"/>
      <c r="F49" s="253"/>
      <c r="G49" s="254"/>
    </row>
    <row r="50" spans="1:8">
      <c r="A50" s="156" t="s">
        <v>91</v>
      </c>
      <c r="B50" s="157" t="s">
        <v>92</v>
      </c>
      <c r="C50" s="158" t="s">
        <v>92</v>
      </c>
      <c r="D50" s="181" t="s">
        <v>92</v>
      </c>
      <c r="E50" s="182" t="s">
        <v>92</v>
      </c>
      <c r="F50" s="182" t="s">
        <v>92</v>
      </c>
      <c r="G50" s="183" t="s">
        <v>92</v>
      </c>
      <c r="H50" s="162" t="s">
        <v>93</v>
      </c>
    </row>
    <row r="51" spans="1:8">
      <c r="A51" s="159" t="s">
        <v>94</v>
      </c>
      <c r="B51" s="150" t="str">
        <f>+B50</f>
        <v>2,6k</v>
      </c>
      <c r="C51" s="148" t="s">
        <v>92</v>
      </c>
      <c r="D51" s="184" t="s">
        <v>92</v>
      </c>
      <c r="E51" s="185" t="s">
        <v>92</v>
      </c>
      <c r="F51" s="185" t="s">
        <v>92</v>
      </c>
      <c r="G51" s="179" t="s">
        <v>92</v>
      </c>
      <c r="H51" s="162" t="s">
        <v>93</v>
      </c>
    </row>
    <row r="52" spans="1:8" ht="23.65" customHeight="1">
      <c r="A52" s="252" t="s">
        <v>95</v>
      </c>
      <c r="B52" s="253"/>
      <c r="C52" s="253"/>
      <c r="D52" s="253"/>
      <c r="E52" s="253"/>
      <c r="F52" s="253"/>
      <c r="G52" s="254"/>
    </row>
    <row r="53" spans="1:8">
      <c r="A53" s="159" t="s">
        <v>96</v>
      </c>
      <c r="B53" s="150" t="s">
        <v>31</v>
      </c>
      <c r="C53" s="148" t="s">
        <v>97</v>
      </c>
      <c r="D53" s="184" t="s">
        <v>98</v>
      </c>
      <c r="E53" s="185" t="s">
        <v>99</v>
      </c>
      <c r="F53" s="185" t="s">
        <v>100</v>
      </c>
      <c r="G53" s="179" t="s">
        <v>101</v>
      </c>
      <c r="H53" s="162" t="s">
        <v>18</v>
      </c>
    </row>
    <row r="54" spans="1:8">
      <c r="A54" s="49"/>
      <c r="B54" s="49"/>
      <c r="C54" s="49"/>
      <c r="D54" s="49"/>
    </row>
    <row r="55" spans="1:8" ht="27.95" customHeight="1">
      <c r="A55" s="249" t="s">
        <v>102</v>
      </c>
      <c r="B55" s="250"/>
      <c r="C55" s="250"/>
      <c r="D55" s="250"/>
      <c r="E55" s="250"/>
      <c r="F55" s="250"/>
      <c r="G55" s="251"/>
    </row>
    <row r="56" spans="1:8">
      <c r="A56" s="153" t="s">
        <v>103</v>
      </c>
      <c r="B56" s="157">
        <v>500</v>
      </c>
      <c r="C56" s="158">
        <v>500</v>
      </c>
      <c r="D56" s="158" t="s">
        <v>21</v>
      </c>
      <c r="E56" s="158" t="s">
        <v>22</v>
      </c>
      <c r="F56" s="158" t="s">
        <v>23</v>
      </c>
      <c r="G56" s="176" t="s">
        <v>24</v>
      </c>
      <c r="H56" s="162" t="s">
        <v>25</v>
      </c>
    </row>
    <row r="57" spans="1:8">
      <c r="A57" s="164" t="s">
        <v>104</v>
      </c>
      <c r="B57" s="167" t="s">
        <v>37</v>
      </c>
      <c r="C57" s="158" t="s">
        <v>37</v>
      </c>
      <c r="D57" s="158" t="s">
        <v>28</v>
      </c>
      <c r="E57" s="158" t="s">
        <v>29</v>
      </c>
      <c r="F57" s="158" t="s">
        <v>30</v>
      </c>
      <c r="G57" s="176" t="s">
        <v>31</v>
      </c>
      <c r="H57" s="162" t="s">
        <v>18</v>
      </c>
    </row>
    <row r="58" spans="1:8">
      <c r="A58" s="244" t="s">
        <v>105</v>
      </c>
      <c r="B58" s="245"/>
      <c r="C58" s="245"/>
      <c r="D58" s="245"/>
      <c r="E58" s="245"/>
      <c r="F58" s="245"/>
      <c r="G58" s="246"/>
    </row>
    <row r="59" spans="1:8">
      <c r="A59" s="164" t="s">
        <v>106</v>
      </c>
      <c r="B59" s="167">
        <v>500</v>
      </c>
      <c r="C59" s="158">
        <v>500</v>
      </c>
      <c r="D59" s="158" t="s">
        <v>21</v>
      </c>
      <c r="E59" s="158" t="s">
        <v>22</v>
      </c>
      <c r="F59" s="158" t="s">
        <v>23</v>
      </c>
      <c r="G59" s="176" t="s">
        <v>24</v>
      </c>
      <c r="H59" s="162" t="s">
        <v>107</v>
      </c>
    </row>
    <row r="60" spans="1:8">
      <c r="A60" s="165" t="s">
        <v>108</v>
      </c>
      <c r="B60" s="169">
        <v>500</v>
      </c>
      <c r="C60" s="148">
        <v>500</v>
      </c>
      <c r="D60" s="148">
        <v>500</v>
      </c>
      <c r="E60" s="148">
        <v>500</v>
      </c>
      <c r="F60" s="148">
        <v>500</v>
      </c>
      <c r="G60" s="180">
        <v>500</v>
      </c>
      <c r="H60" s="162" t="s">
        <v>25</v>
      </c>
    </row>
    <row r="61" spans="1:8">
      <c r="A61" s="163"/>
    </row>
    <row r="62" spans="1:8" ht="25.35" customHeight="1">
      <c r="A62" s="249" t="s">
        <v>109</v>
      </c>
      <c r="B62" s="250"/>
      <c r="C62" s="250"/>
      <c r="D62" s="250"/>
      <c r="E62" s="250"/>
      <c r="F62" s="250"/>
      <c r="G62" s="251"/>
    </row>
    <row r="63" spans="1:8">
      <c r="A63" s="170" t="s">
        <v>110</v>
      </c>
      <c r="B63" s="155">
        <v>500</v>
      </c>
      <c r="C63" s="155">
        <v>500</v>
      </c>
      <c r="D63" s="155" t="s">
        <v>21</v>
      </c>
      <c r="E63" s="155" t="s">
        <v>22</v>
      </c>
      <c r="F63" s="155" t="s">
        <v>23</v>
      </c>
      <c r="G63" s="186" t="s">
        <v>24</v>
      </c>
      <c r="H63" s="162" t="s">
        <v>25</v>
      </c>
    </row>
    <row r="64" spans="1:8">
      <c r="A64" s="170" t="s">
        <v>111</v>
      </c>
      <c r="B64" s="155" t="s">
        <v>112</v>
      </c>
      <c r="C64" s="155" t="s">
        <v>112</v>
      </c>
      <c r="D64" s="155" t="s">
        <v>112</v>
      </c>
      <c r="E64" s="155" t="s">
        <v>112</v>
      </c>
      <c r="F64" s="155" t="s">
        <v>112</v>
      </c>
      <c r="G64" s="186" t="s">
        <v>112</v>
      </c>
      <c r="H64" s="162" t="s">
        <v>113</v>
      </c>
    </row>
    <row r="65" spans="1:8">
      <c r="A65" s="170" t="s">
        <v>114</v>
      </c>
      <c r="B65" s="229">
        <v>500</v>
      </c>
      <c r="C65" s="155">
        <v>500</v>
      </c>
      <c r="D65" s="155" t="s">
        <v>21</v>
      </c>
      <c r="E65" s="155" t="s">
        <v>22</v>
      </c>
      <c r="F65" s="155" t="s">
        <v>23</v>
      </c>
      <c r="G65" s="186" t="s">
        <v>24</v>
      </c>
    </row>
    <row r="66" spans="1:8">
      <c r="A66" s="58"/>
    </row>
    <row r="67" spans="1:8" ht="26.65" customHeight="1">
      <c r="A67" s="249" t="s">
        <v>115</v>
      </c>
      <c r="B67" s="250"/>
      <c r="C67" s="250"/>
      <c r="D67" s="250"/>
      <c r="E67" s="250"/>
      <c r="F67" s="250"/>
      <c r="G67" s="251"/>
    </row>
    <row r="68" spans="1:8">
      <c r="A68" s="170" t="s">
        <v>116</v>
      </c>
      <c r="B68" s="155" t="s">
        <v>117</v>
      </c>
      <c r="C68" s="155" t="s">
        <v>118</v>
      </c>
      <c r="D68" s="155" t="s">
        <v>117</v>
      </c>
      <c r="E68" s="155" t="s">
        <v>119</v>
      </c>
      <c r="F68" s="155" t="s">
        <v>119</v>
      </c>
      <c r="G68" s="186" t="s">
        <v>119</v>
      </c>
      <c r="H68" s="162" t="s">
        <v>113</v>
      </c>
    </row>
    <row r="69" spans="1:8">
      <c r="A69" s="58"/>
    </row>
    <row r="70" spans="1:8" ht="26.85" customHeight="1">
      <c r="A70" s="249" t="s">
        <v>120</v>
      </c>
      <c r="B70" s="250"/>
      <c r="C70" s="250"/>
      <c r="D70" s="250"/>
      <c r="E70" s="250"/>
      <c r="F70" s="250"/>
      <c r="G70" s="251"/>
    </row>
    <row r="71" spans="1:8">
      <c r="A71" s="188" t="s">
        <v>116</v>
      </c>
      <c r="B71" s="155">
        <v>500</v>
      </c>
      <c r="C71" s="155">
        <v>500</v>
      </c>
      <c r="D71" s="155" t="s">
        <v>21</v>
      </c>
      <c r="E71" s="155" t="s">
        <v>22</v>
      </c>
      <c r="F71" s="155" t="s">
        <v>23</v>
      </c>
      <c r="G71" s="186" t="s">
        <v>24</v>
      </c>
      <c r="H71" s="162" t="s">
        <v>25</v>
      </c>
    </row>
    <row r="72" spans="1:8">
      <c r="A72" s="164" t="s">
        <v>121</v>
      </c>
      <c r="B72" s="167" t="s">
        <v>21</v>
      </c>
      <c r="C72" s="158" t="s">
        <v>21</v>
      </c>
      <c r="D72" s="158" t="s">
        <v>21</v>
      </c>
      <c r="E72" s="158" t="s">
        <v>22</v>
      </c>
      <c r="F72" s="158" t="s">
        <v>23</v>
      </c>
      <c r="G72" s="176" t="s">
        <v>24</v>
      </c>
      <c r="H72" s="162" t="s">
        <v>25</v>
      </c>
    </row>
    <row r="73" spans="1:8">
      <c r="A73" s="166" t="s">
        <v>122</v>
      </c>
      <c r="B73" s="168" t="s">
        <v>21</v>
      </c>
      <c r="C73" s="132" t="s">
        <v>21</v>
      </c>
      <c r="D73" s="132" t="s">
        <v>21</v>
      </c>
      <c r="E73" s="132" t="s">
        <v>22</v>
      </c>
      <c r="F73" s="132" t="s">
        <v>23</v>
      </c>
      <c r="G73" s="177" t="s">
        <v>24</v>
      </c>
      <c r="H73" s="162" t="s">
        <v>25</v>
      </c>
    </row>
    <row r="74" spans="1:8">
      <c r="A74" s="166" t="s">
        <v>123</v>
      </c>
      <c r="B74" s="168" t="s">
        <v>21</v>
      </c>
      <c r="C74" s="132" t="s">
        <v>21</v>
      </c>
      <c r="D74" s="132" t="s">
        <v>21</v>
      </c>
      <c r="E74" s="132" t="s">
        <v>22</v>
      </c>
      <c r="F74" s="132" t="s">
        <v>23</v>
      </c>
      <c r="G74" s="177" t="s">
        <v>24</v>
      </c>
      <c r="H74" s="162" t="s">
        <v>25</v>
      </c>
    </row>
    <row r="75" spans="1:8">
      <c r="A75" s="166" t="s">
        <v>124</v>
      </c>
      <c r="B75" s="168" t="s">
        <v>117</v>
      </c>
      <c r="C75" s="132" t="s">
        <v>117</v>
      </c>
      <c r="D75" s="132" t="s">
        <v>117</v>
      </c>
      <c r="E75" s="132" t="s">
        <v>117</v>
      </c>
      <c r="F75" s="132" t="s">
        <v>117</v>
      </c>
      <c r="G75" s="177" t="s">
        <v>117</v>
      </c>
      <c r="H75" s="162" t="s">
        <v>113</v>
      </c>
    </row>
    <row r="76" spans="1:8" ht="27.95">
      <c r="A76" s="166" t="s">
        <v>125</v>
      </c>
      <c r="B76" s="146" t="s">
        <v>21</v>
      </c>
      <c r="C76" s="132" t="s">
        <v>21</v>
      </c>
      <c r="D76" s="132" t="s">
        <v>21</v>
      </c>
      <c r="E76" s="132" t="s">
        <v>22</v>
      </c>
      <c r="F76" s="132" t="s">
        <v>23</v>
      </c>
      <c r="G76" s="177" t="s">
        <v>24</v>
      </c>
      <c r="H76" s="162" t="s">
        <v>25</v>
      </c>
    </row>
    <row r="77" spans="1:8">
      <c r="A77" s="165" t="s">
        <v>126</v>
      </c>
      <c r="B77" s="150" t="s">
        <v>24</v>
      </c>
      <c r="C77" s="148" t="s">
        <v>24</v>
      </c>
      <c r="D77" s="148" t="s">
        <v>24</v>
      </c>
      <c r="E77" s="148" t="s">
        <v>24</v>
      </c>
      <c r="F77" s="148" t="s">
        <v>24</v>
      </c>
      <c r="G77" s="180" t="s">
        <v>24</v>
      </c>
      <c r="H77" s="162" t="s">
        <v>25</v>
      </c>
    </row>
  </sheetData>
  <mergeCells count="17">
    <mergeCell ref="A55:G55"/>
    <mergeCell ref="A58:G58"/>
    <mergeCell ref="L5:M5"/>
    <mergeCell ref="J5:K5"/>
    <mergeCell ref="A67:G67"/>
    <mergeCell ref="A70:G70"/>
    <mergeCell ref="J14:K14"/>
    <mergeCell ref="L14:M14"/>
    <mergeCell ref="A5:G5"/>
    <mergeCell ref="A20:G20"/>
    <mergeCell ref="A21:G21"/>
    <mergeCell ref="A38:G38"/>
    <mergeCell ref="A34:G34"/>
    <mergeCell ref="A40:G40"/>
    <mergeCell ref="A49:G49"/>
    <mergeCell ref="A62:G62"/>
    <mergeCell ref="A52:G52"/>
  </mergeCells>
  <phoneticPr fontId="3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0"/>
  <sheetViews>
    <sheetView showGridLines="0" tabSelected="1" zoomScale="70" zoomScaleNormal="70" workbookViewId="0">
      <selection activeCell="G17" sqref="G17"/>
    </sheetView>
  </sheetViews>
  <sheetFormatPr defaultRowHeight="14.1"/>
  <cols>
    <col min="1" max="1" width="7.7109375" customWidth="1"/>
    <col min="2" max="2" width="16.42578125" style="25" customWidth="1"/>
    <col min="3" max="3" width="4.42578125" style="25" customWidth="1"/>
    <col min="4" max="4" width="21" style="6" customWidth="1"/>
    <col min="5" max="5" width="60.42578125" style="2" customWidth="1"/>
    <col min="6" max="6" width="32.28515625" style="4" customWidth="1"/>
    <col min="7" max="7" width="46.85546875" style="4" customWidth="1"/>
    <col min="8" max="8" width="18.5703125" style="4" customWidth="1"/>
    <col min="9" max="9" width="31" style="11" customWidth="1"/>
    <col min="10" max="10" width="32.140625" style="11" customWidth="1"/>
    <col min="11" max="11" width="18.140625" customWidth="1"/>
  </cols>
  <sheetData>
    <row r="2" spans="1:11" ht="14.65" thickBot="1">
      <c r="I2" s="191"/>
      <c r="J2" s="191"/>
    </row>
    <row r="3" spans="1:11" s="1" customFormat="1" ht="24.2" thickBot="1">
      <c r="A3" s="2"/>
      <c r="B3" s="234" t="s">
        <v>127</v>
      </c>
      <c r="C3" s="24"/>
      <c r="D3" s="6"/>
      <c r="E3" s="2"/>
      <c r="F3" s="287" t="s">
        <v>128</v>
      </c>
      <c r="G3" s="288"/>
      <c r="I3" s="191"/>
      <c r="J3" s="191"/>
      <c r="K3"/>
    </row>
    <row r="4" spans="1:11" s="1" customFormat="1" ht="14.65" thickBot="1">
      <c r="B4" s="24"/>
      <c r="C4" s="295" t="s">
        <v>129</v>
      </c>
      <c r="D4" s="296"/>
      <c r="E4" s="64" t="s">
        <v>130</v>
      </c>
      <c r="F4" s="26" t="s">
        <v>129</v>
      </c>
      <c r="G4" s="27" t="s">
        <v>131</v>
      </c>
      <c r="I4" s="191"/>
      <c r="J4" s="191"/>
      <c r="K4"/>
    </row>
    <row r="5" spans="1:11" ht="54.75" customHeight="1">
      <c r="A5" s="263" t="s">
        <v>132</v>
      </c>
      <c r="B5" s="260" t="s">
        <v>133</v>
      </c>
      <c r="C5" s="266" t="s">
        <v>116</v>
      </c>
      <c r="D5" s="267"/>
      <c r="E5" s="84" t="s">
        <v>134</v>
      </c>
      <c r="F5" s="235" t="s">
        <v>116</v>
      </c>
      <c r="G5" s="85" t="s">
        <v>135</v>
      </c>
      <c r="H5" s="1"/>
      <c r="I5" s="191"/>
      <c r="J5" s="191"/>
    </row>
    <row r="6" spans="1:11" ht="15" customHeight="1">
      <c r="A6" s="264"/>
      <c r="B6" s="261"/>
      <c r="C6" s="268"/>
      <c r="D6" s="269"/>
      <c r="E6" s="236" t="s">
        <v>136</v>
      </c>
      <c r="F6" s="30" t="s">
        <v>137</v>
      </c>
      <c r="G6" s="83" t="s">
        <v>138</v>
      </c>
      <c r="H6" s="1"/>
      <c r="I6" s="191"/>
      <c r="J6" s="191"/>
    </row>
    <row r="7" spans="1:11">
      <c r="A7" s="264"/>
      <c r="B7" s="261"/>
      <c r="C7" s="268"/>
      <c r="D7" s="269"/>
      <c r="E7" s="236" t="s">
        <v>139</v>
      </c>
      <c r="F7" s="30" t="s">
        <v>137</v>
      </c>
      <c r="G7" s="83" t="s">
        <v>140</v>
      </c>
      <c r="H7" s="1"/>
      <c r="I7" s="191"/>
      <c r="J7" s="191"/>
    </row>
    <row r="8" spans="1:11" ht="14.65" thickBot="1">
      <c r="A8" s="264"/>
      <c r="B8" s="262"/>
      <c r="C8" s="270" t="s">
        <v>141</v>
      </c>
      <c r="D8" s="271"/>
      <c r="E8" s="237" t="s">
        <v>27</v>
      </c>
      <c r="F8" s="238"/>
      <c r="G8" s="211" t="s">
        <v>142</v>
      </c>
      <c r="H8" s="1"/>
      <c r="I8" s="191"/>
      <c r="J8" s="191"/>
    </row>
    <row r="9" spans="1:11" ht="66.75" customHeight="1" thickBot="1">
      <c r="A9" s="265"/>
      <c r="B9" s="106" t="s">
        <v>143</v>
      </c>
      <c r="C9" s="297" t="s">
        <v>116</v>
      </c>
      <c r="D9" s="298"/>
      <c r="E9" s="84" t="s">
        <v>144</v>
      </c>
      <c r="F9" s="239" t="s">
        <v>116</v>
      </c>
      <c r="G9" s="212" t="s">
        <v>135</v>
      </c>
      <c r="H9" s="1"/>
      <c r="I9" s="191"/>
      <c r="J9" s="191"/>
    </row>
    <row r="10" spans="1:11" ht="36" customHeight="1" thickBot="1">
      <c r="B10" s="276" t="s">
        <v>145</v>
      </c>
      <c r="C10" s="279" t="s">
        <v>146</v>
      </c>
      <c r="D10" s="280"/>
      <c r="E10" s="41" t="s">
        <v>147</v>
      </c>
      <c r="F10" s="61" t="s">
        <v>148</v>
      </c>
      <c r="G10" s="213" t="s">
        <v>149</v>
      </c>
      <c r="H10" s="1"/>
      <c r="I10" s="191"/>
      <c r="J10" s="191"/>
    </row>
    <row r="11" spans="1:11" ht="15.75" customHeight="1" thickBot="1">
      <c r="B11" s="277"/>
      <c r="C11" s="281"/>
      <c r="D11" s="282"/>
      <c r="E11" s="243" t="s">
        <v>150</v>
      </c>
      <c r="F11" s="39" t="s">
        <v>151</v>
      </c>
      <c r="G11" s="95" t="s">
        <v>152</v>
      </c>
      <c r="H11" s="1"/>
      <c r="I11" s="12"/>
      <c r="J11" s="12"/>
    </row>
    <row r="12" spans="1:11" ht="33" customHeight="1" thickBot="1">
      <c r="B12" s="277"/>
      <c r="C12" s="258" t="s">
        <v>146</v>
      </c>
      <c r="D12" s="259"/>
      <c r="E12" s="41" t="s">
        <v>36</v>
      </c>
      <c r="F12" s="96" t="s">
        <v>148</v>
      </c>
      <c r="G12" s="213" t="s">
        <v>153</v>
      </c>
      <c r="H12" s="1"/>
      <c r="I12" s="12"/>
      <c r="J12" s="12"/>
    </row>
    <row r="13" spans="1:11" ht="31.7" customHeight="1">
      <c r="B13" s="277"/>
      <c r="C13" s="279" t="s">
        <v>154</v>
      </c>
      <c r="D13" s="280"/>
      <c r="E13" s="40" t="s">
        <v>39</v>
      </c>
      <c r="F13" s="59" t="s">
        <v>148</v>
      </c>
      <c r="G13" s="214" t="s">
        <v>155</v>
      </c>
      <c r="H13" s="1"/>
      <c r="I13" s="12"/>
      <c r="J13" s="12"/>
    </row>
    <row r="14" spans="1:11" ht="30.6" customHeight="1">
      <c r="B14" s="277"/>
      <c r="C14" s="283"/>
      <c r="D14" s="284"/>
      <c r="E14" s="32" t="s">
        <v>156</v>
      </c>
      <c r="F14" s="35" t="s">
        <v>157</v>
      </c>
      <c r="G14" s="215" t="s">
        <v>158</v>
      </c>
      <c r="H14" s="1"/>
      <c r="I14" s="12"/>
      <c r="J14" s="12"/>
    </row>
    <row r="15" spans="1:11" ht="15.75" customHeight="1">
      <c r="B15" s="277"/>
      <c r="C15" s="283"/>
      <c r="D15" s="284"/>
      <c r="E15" s="32" t="s">
        <v>159</v>
      </c>
      <c r="F15" s="35" t="s">
        <v>157</v>
      </c>
      <c r="G15" s="215" t="s">
        <v>160</v>
      </c>
      <c r="H15" s="1"/>
      <c r="I15" s="12"/>
      <c r="J15" s="12"/>
    </row>
    <row r="16" spans="1:11" ht="15.75" customHeight="1" thickBot="1">
      <c r="B16" s="277"/>
      <c r="C16" s="281"/>
      <c r="D16" s="282"/>
      <c r="E16" s="33" t="s">
        <v>161</v>
      </c>
      <c r="F16" s="60" t="s">
        <v>162</v>
      </c>
      <c r="G16" s="216" t="s">
        <v>158</v>
      </c>
      <c r="H16" s="1"/>
      <c r="J16" s="12"/>
    </row>
    <row r="17" spans="2:10" ht="45" customHeight="1" thickBot="1">
      <c r="B17" s="277"/>
      <c r="C17" s="258" t="s">
        <v>154</v>
      </c>
      <c r="D17" s="259"/>
      <c r="E17" s="34" t="s">
        <v>163</v>
      </c>
      <c r="F17" s="61" t="s">
        <v>148</v>
      </c>
      <c r="G17" s="213" t="s">
        <v>164</v>
      </c>
      <c r="H17" s="1"/>
      <c r="I17" s="12"/>
      <c r="J17" s="12"/>
    </row>
    <row r="18" spans="2:10" ht="27.95" customHeight="1" thickBot="1">
      <c r="B18" s="277"/>
      <c r="C18" s="258" t="s">
        <v>154</v>
      </c>
      <c r="D18" s="259"/>
      <c r="E18" s="68" t="s">
        <v>48</v>
      </c>
      <c r="F18" s="61" t="s">
        <v>148</v>
      </c>
      <c r="G18" s="43" t="s">
        <v>165</v>
      </c>
      <c r="H18" s="1"/>
    </row>
    <row r="19" spans="2:10" ht="25.9" customHeight="1" thickBot="1">
      <c r="B19" s="277"/>
      <c r="C19" s="258" t="s">
        <v>154</v>
      </c>
      <c r="D19" s="259"/>
      <c r="E19" s="68" t="s">
        <v>49</v>
      </c>
      <c r="F19" s="61" t="s">
        <v>148</v>
      </c>
      <c r="G19" s="43" t="s">
        <v>166</v>
      </c>
      <c r="H19" s="1"/>
      <c r="I19" s="12"/>
      <c r="J19" s="12"/>
    </row>
    <row r="20" spans="2:10" ht="25.9" customHeight="1" thickBot="1">
      <c r="B20" s="277"/>
      <c r="C20" s="258" t="s">
        <v>154</v>
      </c>
      <c r="D20" s="259"/>
      <c r="E20" s="68" t="s">
        <v>50</v>
      </c>
      <c r="F20" s="61" t="s">
        <v>148</v>
      </c>
      <c r="G20" s="43" t="s">
        <v>166</v>
      </c>
      <c r="H20" s="1"/>
      <c r="I20" s="12"/>
      <c r="J20" s="12"/>
    </row>
    <row r="21" spans="2:10" ht="25.9" customHeight="1" thickBot="1">
      <c r="B21" s="277"/>
      <c r="C21" s="258" t="s">
        <v>154</v>
      </c>
      <c r="D21" s="259"/>
      <c r="E21" s="68" t="s">
        <v>53</v>
      </c>
      <c r="F21" s="61" t="s">
        <v>148</v>
      </c>
      <c r="G21" s="43" t="s">
        <v>166</v>
      </c>
      <c r="H21" s="1"/>
      <c r="I21" s="12"/>
      <c r="J21" s="12"/>
    </row>
    <row r="22" spans="2:10" ht="30" customHeight="1" thickBot="1">
      <c r="B22" s="277"/>
      <c r="C22" s="258" t="s">
        <v>146</v>
      </c>
      <c r="D22" s="259"/>
      <c r="E22" s="68" t="s">
        <v>54</v>
      </c>
      <c r="F22" s="61" t="s">
        <v>148</v>
      </c>
      <c r="G22" s="43" t="s">
        <v>167</v>
      </c>
      <c r="H22" s="1"/>
      <c r="J22" s="12"/>
    </row>
    <row r="23" spans="2:10" ht="14.65" thickBot="1">
      <c r="B23" s="278"/>
      <c r="C23" s="301" t="s">
        <v>168</v>
      </c>
      <c r="D23" s="302"/>
      <c r="E23" s="101" t="s">
        <v>56</v>
      </c>
      <c r="F23" s="97" t="s">
        <v>148</v>
      </c>
      <c r="G23" s="95" t="s">
        <v>169</v>
      </c>
      <c r="H23" s="1"/>
      <c r="J23" s="12"/>
    </row>
    <row r="24" spans="2:10" ht="33" customHeight="1">
      <c r="B24" s="106" t="s">
        <v>170</v>
      </c>
      <c r="C24" s="272" t="s">
        <v>116</v>
      </c>
      <c r="D24" s="273"/>
      <c r="E24" s="98" t="s">
        <v>171</v>
      </c>
      <c r="F24" s="99" t="s">
        <v>172</v>
      </c>
      <c r="G24" s="100" t="s">
        <v>173</v>
      </c>
      <c r="H24" s="1"/>
    </row>
    <row r="25" spans="2:10" ht="20.25" customHeight="1">
      <c r="B25" s="62"/>
      <c r="C25" s="274"/>
      <c r="D25" s="275"/>
      <c r="E25" s="28" t="s">
        <v>174</v>
      </c>
      <c r="F25" s="30"/>
      <c r="G25" s="83" t="s">
        <v>175</v>
      </c>
      <c r="H25" s="1"/>
      <c r="I25" s="12"/>
      <c r="J25" s="12"/>
    </row>
    <row r="26" spans="2:10">
      <c r="B26" s="62"/>
      <c r="C26" s="274"/>
      <c r="D26" s="275"/>
      <c r="E26" s="28" t="s">
        <v>176</v>
      </c>
      <c r="F26" s="30"/>
      <c r="G26" s="83" t="s">
        <v>177</v>
      </c>
      <c r="H26" s="1"/>
    </row>
    <row r="27" spans="2:10">
      <c r="B27" s="62"/>
      <c r="C27" s="274"/>
      <c r="D27" s="275"/>
      <c r="E27" s="29" t="s">
        <v>178</v>
      </c>
      <c r="F27" s="30"/>
      <c r="G27" s="83" t="s">
        <v>177</v>
      </c>
      <c r="H27" s="1"/>
    </row>
    <row r="28" spans="2:10">
      <c r="B28" s="62"/>
      <c r="C28" s="274"/>
      <c r="D28" s="275"/>
      <c r="E28" s="28" t="s">
        <v>179</v>
      </c>
      <c r="F28" s="30"/>
      <c r="G28" s="83" t="s">
        <v>177</v>
      </c>
      <c r="H28" s="1"/>
    </row>
    <row r="29" spans="2:10">
      <c r="B29" s="62"/>
      <c r="C29" s="274"/>
      <c r="D29" s="275"/>
      <c r="E29" s="28" t="s">
        <v>180</v>
      </c>
      <c r="F29" s="30"/>
      <c r="G29" s="83" t="s">
        <v>181</v>
      </c>
      <c r="H29" s="1"/>
    </row>
    <row r="30" spans="2:10" ht="14.65" thickBot="1">
      <c r="B30" s="63"/>
      <c r="C30" s="270"/>
      <c r="D30" s="271"/>
      <c r="E30" s="72" t="s">
        <v>136</v>
      </c>
      <c r="F30" s="65"/>
      <c r="G30" s="217" t="s">
        <v>182</v>
      </c>
      <c r="H30" s="1"/>
    </row>
    <row r="31" spans="2:10" ht="36.75" customHeight="1" thickBot="1">
      <c r="H31" s="1"/>
    </row>
    <row r="32" spans="2:10" ht="21.6" thickBot="1">
      <c r="F32" s="299" t="s">
        <v>183</v>
      </c>
      <c r="G32" s="300"/>
      <c r="H32" s="6"/>
    </row>
    <row r="33" spans="1:10" s="1" customFormat="1" ht="14.65" thickBot="1">
      <c r="B33" s="24"/>
      <c r="C33" s="285" t="s">
        <v>129</v>
      </c>
      <c r="D33" s="286"/>
      <c r="E33" s="64" t="s">
        <v>130</v>
      </c>
      <c r="F33" s="3" t="s">
        <v>129</v>
      </c>
      <c r="G33" s="5" t="s">
        <v>131</v>
      </c>
      <c r="H33" s="6"/>
      <c r="I33" s="57"/>
      <c r="J33" s="57"/>
    </row>
    <row r="34" spans="1:10" ht="30" customHeight="1">
      <c r="A34" s="263" t="s">
        <v>132</v>
      </c>
      <c r="B34" s="260" t="s">
        <v>184</v>
      </c>
      <c r="C34" s="266" t="s">
        <v>116</v>
      </c>
      <c r="D34" s="267"/>
      <c r="E34" s="84" t="s">
        <v>185</v>
      </c>
      <c r="F34" s="235" t="s">
        <v>116</v>
      </c>
      <c r="G34" s="85" t="s">
        <v>135</v>
      </c>
      <c r="H34" s="1"/>
      <c r="J34" s="12"/>
    </row>
    <row r="35" spans="1:10" ht="15" customHeight="1">
      <c r="A35" s="264"/>
      <c r="B35" s="261"/>
      <c r="C35" s="268"/>
      <c r="D35" s="269"/>
      <c r="E35" s="236" t="s">
        <v>136</v>
      </c>
      <c r="F35" s="30" t="s">
        <v>137</v>
      </c>
      <c r="G35" s="83" t="s">
        <v>138</v>
      </c>
      <c r="H35" s="1"/>
      <c r="I35" s="12"/>
    </row>
    <row r="36" spans="1:10">
      <c r="A36" s="264"/>
      <c r="B36" s="261"/>
      <c r="C36" s="268"/>
      <c r="D36" s="269"/>
      <c r="E36" s="236" t="s">
        <v>186</v>
      </c>
      <c r="F36" s="30" t="s">
        <v>137</v>
      </c>
      <c r="G36" s="83" t="s">
        <v>140</v>
      </c>
      <c r="H36" s="1"/>
      <c r="I36" s="12"/>
      <c r="J36" s="12"/>
    </row>
    <row r="37" spans="1:10" ht="15.75" customHeight="1" thickBot="1">
      <c r="A37" s="264"/>
      <c r="B37" s="262"/>
      <c r="C37" s="270" t="s">
        <v>141</v>
      </c>
      <c r="D37" s="271"/>
      <c r="E37" s="240" t="s">
        <v>27</v>
      </c>
      <c r="F37" s="65"/>
      <c r="G37" s="211" t="s">
        <v>142</v>
      </c>
      <c r="H37" s="1"/>
      <c r="I37" s="12"/>
      <c r="J37" s="12"/>
    </row>
    <row r="38" spans="1:10" ht="45.75" customHeight="1" thickBot="1">
      <c r="A38" s="265"/>
      <c r="B38" s="106" t="s">
        <v>184</v>
      </c>
      <c r="C38" s="297" t="s">
        <v>116</v>
      </c>
      <c r="D38" s="298"/>
      <c r="E38" s="127" t="s">
        <v>187</v>
      </c>
      <c r="F38" s="241" t="s">
        <v>116</v>
      </c>
      <c r="G38" s="212" t="s">
        <v>135</v>
      </c>
      <c r="H38" s="1"/>
      <c r="I38" s="12"/>
      <c r="J38" s="12"/>
    </row>
    <row r="39" spans="1:10" ht="33.75" customHeight="1" thickBot="1">
      <c r="B39" s="255" t="s">
        <v>145</v>
      </c>
      <c r="C39" s="276" t="s">
        <v>188</v>
      </c>
      <c r="D39" s="129" t="s">
        <v>116</v>
      </c>
      <c r="E39" s="31" t="s">
        <v>189</v>
      </c>
      <c r="F39" s="37" t="s">
        <v>116</v>
      </c>
      <c r="G39" s="38" t="s">
        <v>190</v>
      </c>
      <c r="H39" s="242">
        <f>1.5*30%</f>
        <v>0.44999999999999996</v>
      </c>
      <c r="I39" s="12"/>
      <c r="J39" s="12"/>
    </row>
    <row r="40" spans="1:10" ht="14.65" thickBot="1">
      <c r="B40" s="256"/>
      <c r="C40" s="277"/>
      <c r="D40" s="129"/>
      <c r="E40" s="67" t="s">
        <v>150</v>
      </c>
      <c r="F40" s="39" t="s">
        <v>151</v>
      </c>
      <c r="G40" s="95" t="s">
        <v>152</v>
      </c>
      <c r="H40" s="1"/>
      <c r="I40" s="12"/>
      <c r="J40" s="12"/>
    </row>
    <row r="41" spans="1:10" ht="30.75" customHeight="1" thickBot="1">
      <c r="B41" s="256"/>
      <c r="C41" s="277"/>
      <c r="D41" s="129" t="s">
        <v>116</v>
      </c>
      <c r="E41" s="41" t="s">
        <v>36</v>
      </c>
      <c r="F41" s="42" t="s">
        <v>116</v>
      </c>
      <c r="G41" s="43" t="s">
        <v>191</v>
      </c>
      <c r="H41" s="242">
        <f>1.5*20%</f>
        <v>0.30000000000000004</v>
      </c>
      <c r="I41" s="12"/>
      <c r="J41" s="12"/>
    </row>
    <row r="42" spans="1:10">
      <c r="B42" s="256"/>
      <c r="C42" s="277"/>
      <c r="D42" s="303" t="s">
        <v>116</v>
      </c>
      <c r="E42" s="31" t="s">
        <v>39</v>
      </c>
      <c r="F42" s="37" t="s">
        <v>116</v>
      </c>
      <c r="G42" s="214" t="s">
        <v>155</v>
      </c>
      <c r="H42" s="1"/>
      <c r="I42" s="12"/>
      <c r="J42" s="12"/>
    </row>
    <row r="43" spans="1:10" ht="15.75" customHeight="1">
      <c r="B43" s="256"/>
      <c r="C43" s="277"/>
      <c r="D43" s="304"/>
      <c r="E43" s="66" t="s">
        <v>156</v>
      </c>
      <c r="F43" s="35" t="s">
        <v>157</v>
      </c>
      <c r="G43" s="215" t="s">
        <v>158</v>
      </c>
      <c r="H43" s="1"/>
      <c r="I43" s="12"/>
      <c r="J43" s="12"/>
    </row>
    <row r="44" spans="1:10">
      <c r="B44" s="256"/>
      <c r="C44" s="277"/>
      <c r="D44" s="304"/>
      <c r="E44" s="66" t="s">
        <v>159</v>
      </c>
      <c r="F44" s="35" t="s">
        <v>157</v>
      </c>
      <c r="G44" s="215" t="s">
        <v>160</v>
      </c>
      <c r="H44" s="1"/>
      <c r="I44" s="12"/>
      <c r="J44" s="12"/>
    </row>
    <row r="45" spans="1:10" ht="14.65" thickBot="1">
      <c r="B45" s="256"/>
      <c r="C45" s="277"/>
      <c r="D45" s="305"/>
      <c r="E45" s="67" t="s">
        <v>161</v>
      </c>
      <c r="F45" s="60" t="s">
        <v>157</v>
      </c>
      <c r="G45" s="216" t="s">
        <v>158</v>
      </c>
      <c r="H45" s="1"/>
      <c r="J45" s="12"/>
    </row>
    <row r="46" spans="1:10" ht="45" customHeight="1" thickBot="1">
      <c r="B46" s="256"/>
      <c r="C46" s="277"/>
      <c r="D46" s="130" t="s">
        <v>116</v>
      </c>
      <c r="E46" s="34" t="s">
        <v>163</v>
      </c>
      <c r="F46" s="42" t="s">
        <v>116</v>
      </c>
      <c r="G46" s="213" t="s">
        <v>164</v>
      </c>
      <c r="H46" s="1"/>
      <c r="I46" s="12"/>
      <c r="J46" s="12"/>
    </row>
    <row r="47" spans="1:10" ht="14.65" thickBot="1">
      <c r="B47" s="256"/>
      <c r="C47" s="277"/>
      <c r="D47" s="131" t="s">
        <v>116</v>
      </c>
      <c r="E47" s="68" t="s">
        <v>48</v>
      </c>
      <c r="F47" s="42" t="s">
        <v>116</v>
      </c>
      <c r="G47" s="213" t="s">
        <v>165</v>
      </c>
      <c r="H47" s="1"/>
    </row>
    <row r="48" spans="1:10" s="70" customFormat="1" ht="15.75" customHeight="1" thickBot="1">
      <c r="B48" s="256"/>
      <c r="C48" s="258" t="s">
        <v>192</v>
      </c>
      <c r="D48" s="259"/>
      <c r="E48" s="68" t="s">
        <v>49</v>
      </c>
      <c r="F48" s="42" t="s">
        <v>192</v>
      </c>
      <c r="G48" s="213" t="s">
        <v>166</v>
      </c>
      <c r="H48" s="1"/>
      <c r="I48" s="69"/>
      <c r="J48" s="69"/>
    </row>
    <row r="49" spans="2:10" s="70" customFormat="1" ht="15.75" customHeight="1" thickBot="1">
      <c r="B49" s="256"/>
      <c r="C49" s="258" t="s">
        <v>192</v>
      </c>
      <c r="D49" s="259"/>
      <c r="E49" s="68" t="s">
        <v>50</v>
      </c>
      <c r="F49" s="42" t="s">
        <v>192</v>
      </c>
      <c r="G49" s="213" t="s">
        <v>166</v>
      </c>
      <c r="H49" s="1"/>
      <c r="I49" s="71"/>
      <c r="J49" s="69"/>
    </row>
    <row r="50" spans="2:10" ht="15.75" customHeight="1" thickBot="1">
      <c r="B50" s="256"/>
      <c r="C50" s="258" t="s">
        <v>192</v>
      </c>
      <c r="D50" s="259"/>
      <c r="E50" s="68" t="s">
        <v>53</v>
      </c>
      <c r="F50" s="42" t="s">
        <v>192</v>
      </c>
      <c r="G50" s="43" t="s">
        <v>166</v>
      </c>
      <c r="H50" s="1"/>
      <c r="I50" s="12"/>
      <c r="J50" s="12"/>
    </row>
    <row r="51" spans="2:10" ht="15.75" customHeight="1" thickBot="1">
      <c r="B51" s="256"/>
      <c r="C51" s="258" t="s">
        <v>192</v>
      </c>
      <c r="D51" s="259"/>
      <c r="E51" s="68" t="s">
        <v>54</v>
      </c>
      <c r="F51" s="42" t="s">
        <v>192</v>
      </c>
      <c r="G51" s="228" t="s">
        <v>167</v>
      </c>
      <c r="H51" s="1"/>
      <c r="I51" s="12"/>
      <c r="J51" s="12"/>
    </row>
    <row r="52" spans="2:10" ht="15.75" customHeight="1" thickBot="1">
      <c r="B52" s="257"/>
      <c r="C52" s="258" t="s">
        <v>192</v>
      </c>
      <c r="D52" s="259"/>
      <c r="E52" s="102" t="s">
        <v>56</v>
      </c>
      <c r="F52" s="42" t="s">
        <v>192</v>
      </c>
      <c r="G52" s="43" t="s">
        <v>169</v>
      </c>
      <c r="H52" s="1"/>
      <c r="I52" s="12"/>
      <c r="J52" s="12"/>
    </row>
    <row r="53" spans="2:10" ht="59.25" customHeight="1">
      <c r="B53" s="106" t="s">
        <v>170</v>
      </c>
      <c r="C53" s="289" t="s">
        <v>192</v>
      </c>
      <c r="D53" s="290"/>
      <c r="E53" s="89" t="s">
        <v>193</v>
      </c>
      <c r="F53" s="99" t="s">
        <v>172</v>
      </c>
      <c r="G53" s="218" t="s">
        <v>173</v>
      </c>
      <c r="H53" s="1"/>
    </row>
    <row r="54" spans="2:10">
      <c r="B54" s="62"/>
      <c r="C54" s="291"/>
      <c r="D54" s="292"/>
      <c r="E54" s="90" t="s">
        <v>174</v>
      </c>
      <c r="F54" s="30" t="s">
        <v>194</v>
      </c>
      <c r="G54" s="219" t="s">
        <v>175</v>
      </c>
      <c r="H54" s="1"/>
      <c r="I54" s="12"/>
      <c r="J54" s="12"/>
    </row>
    <row r="55" spans="2:10">
      <c r="B55" s="62"/>
      <c r="C55" s="291"/>
      <c r="D55" s="292"/>
      <c r="E55" s="90" t="s">
        <v>176</v>
      </c>
      <c r="F55" s="30" t="s">
        <v>194</v>
      </c>
      <c r="G55" s="219" t="s">
        <v>177</v>
      </c>
      <c r="H55" s="1"/>
    </row>
    <row r="56" spans="2:10">
      <c r="B56" s="62"/>
      <c r="C56" s="291"/>
      <c r="D56" s="292"/>
      <c r="E56" s="36" t="s">
        <v>178</v>
      </c>
      <c r="F56" s="30" t="s">
        <v>194</v>
      </c>
      <c r="G56" s="219" t="s">
        <v>177</v>
      </c>
      <c r="H56" s="1"/>
    </row>
    <row r="57" spans="2:10">
      <c r="B57" s="62"/>
      <c r="C57" s="291"/>
      <c r="D57" s="292"/>
      <c r="E57" s="90" t="s">
        <v>179</v>
      </c>
      <c r="F57" s="30" t="s">
        <v>194</v>
      </c>
      <c r="G57" s="219" t="s">
        <v>177</v>
      </c>
      <c r="H57" s="1"/>
    </row>
    <row r="58" spans="2:10">
      <c r="B58" s="62"/>
      <c r="C58" s="291"/>
      <c r="D58" s="292"/>
      <c r="E58" s="90" t="s">
        <v>180</v>
      </c>
      <c r="F58" s="30" t="s">
        <v>194</v>
      </c>
      <c r="G58" s="219" t="s">
        <v>181</v>
      </c>
      <c r="H58" s="1"/>
    </row>
    <row r="59" spans="2:10" ht="14.65" thickBot="1">
      <c r="B59" s="63"/>
      <c r="C59" s="293"/>
      <c r="D59" s="294"/>
      <c r="E59" s="91" t="s">
        <v>136</v>
      </c>
      <c r="F59" s="65" t="s">
        <v>194</v>
      </c>
      <c r="G59" s="220" t="s">
        <v>182</v>
      </c>
      <c r="H59" s="1"/>
    </row>
    <row r="60" spans="2:10">
      <c r="G60" s="221"/>
    </row>
  </sheetData>
  <mergeCells count="35">
    <mergeCell ref="F3:G3"/>
    <mergeCell ref="C53:D59"/>
    <mergeCell ref="C4:D4"/>
    <mergeCell ref="C9:D9"/>
    <mergeCell ref="C12:D12"/>
    <mergeCell ref="C5:D7"/>
    <mergeCell ref="C8:D8"/>
    <mergeCell ref="F32:G32"/>
    <mergeCell ref="C23:D23"/>
    <mergeCell ref="C39:C47"/>
    <mergeCell ref="C38:D38"/>
    <mergeCell ref="D42:D45"/>
    <mergeCell ref="C52:D52"/>
    <mergeCell ref="C48:D48"/>
    <mergeCell ref="C51:D51"/>
    <mergeCell ref="A5:A9"/>
    <mergeCell ref="C34:D36"/>
    <mergeCell ref="C37:D37"/>
    <mergeCell ref="C21:D21"/>
    <mergeCell ref="C22:D22"/>
    <mergeCell ref="C24:D30"/>
    <mergeCell ref="B10:B23"/>
    <mergeCell ref="C10:D11"/>
    <mergeCell ref="C13:D16"/>
    <mergeCell ref="C33:D33"/>
    <mergeCell ref="C17:D17"/>
    <mergeCell ref="C18:D18"/>
    <mergeCell ref="C19:D19"/>
    <mergeCell ref="A34:A38"/>
    <mergeCell ref="B39:B52"/>
    <mergeCell ref="C20:D20"/>
    <mergeCell ref="B5:B8"/>
    <mergeCell ref="B34:B37"/>
    <mergeCell ref="C49:D49"/>
    <mergeCell ref="C50:D5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D705-C023-4E17-92E7-011A18CBC2F3}">
  <dimension ref="A1:I304"/>
  <sheetViews>
    <sheetView showGridLines="0" zoomScale="60" zoomScaleNormal="60" workbookViewId="0">
      <selection activeCell="E4" sqref="E4"/>
    </sheetView>
  </sheetViews>
  <sheetFormatPr defaultColWidth="8.85546875" defaultRowHeight="14.1"/>
  <cols>
    <col min="1" max="1" width="29" style="49" customWidth="1"/>
    <col min="2" max="2" width="19.42578125" customWidth="1"/>
    <col min="3" max="3" width="9.140625"/>
    <col min="4" max="4" width="75.140625" customWidth="1"/>
    <col min="5" max="5" width="47.42578125" customWidth="1"/>
    <col min="6" max="6" width="71" style="105" customWidth="1"/>
    <col min="7" max="7" width="22.140625" customWidth="1"/>
    <col min="8" max="9" width="9.140625"/>
  </cols>
  <sheetData>
    <row r="1" spans="1:9" ht="30.6" customHeight="1" thickBot="1">
      <c r="D1" s="306" t="s">
        <v>195</v>
      </c>
      <c r="E1" s="307"/>
    </row>
    <row r="2" spans="1:9" ht="46.7" customHeight="1" thickBot="1">
      <c r="A2" s="10" t="s">
        <v>129</v>
      </c>
      <c r="B2" s="10" t="s">
        <v>196</v>
      </c>
      <c r="D2" s="232" t="s">
        <v>129</v>
      </c>
      <c r="E2" s="233" t="s">
        <v>131</v>
      </c>
      <c r="F2" s="111"/>
    </row>
    <row r="3" spans="1:9" ht="14.65" thickBot="1">
      <c r="A3" s="160" t="s">
        <v>197</v>
      </c>
      <c r="B3" s="103" t="s">
        <v>63</v>
      </c>
      <c r="D3" s="112" t="s">
        <v>63</v>
      </c>
      <c r="E3" s="201" t="s">
        <v>198</v>
      </c>
      <c r="F3" s="111"/>
    </row>
    <row r="4" spans="1:9">
      <c r="B4" s="327" t="s">
        <v>63</v>
      </c>
      <c r="D4" s="94" t="s">
        <v>199</v>
      </c>
      <c r="E4" s="20"/>
      <c r="F4" s="111"/>
    </row>
    <row r="5" spans="1:9">
      <c r="B5" s="328"/>
      <c r="C5" s="330"/>
      <c r="D5" s="110" t="s">
        <v>66</v>
      </c>
      <c r="E5" s="204" t="s">
        <v>200</v>
      </c>
      <c r="F5" s="111"/>
    </row>
    <row r="6" spans="1:9">
      <c r="B6" s="328"/>
      <c r="C6" s="330"/>
      <c r="D6" s="206" t="s">
        <v>67</v>
      </c>
      <c r="E6" s="204" t="s">
        <v>201</v>
      </c>
      <c r="F6" s="111"/>
    </row>
    <row r="7" spans="1:9">
      <c r="B7" s="328"/>
      <c r="C7" s="330"/>
      <c r="D7" s="224" t="s">
        <v>68</v>
      </c>
      <c r="E7" s="204" t="s">
        <v>202</v>
      </c>
      <c r="F7" s="111"/>
    </row>
    <row r="8" spans="1:9">
      <c r="B8" s="328"/>
      <c r="C8" s="330"/>
      <c r="D8" s="224" t="s">
        <v>69</v>
      </c>
      <c r="E8" s="204" t="s">
        <v>203</v>
      </c>
      <c r="F8" s="111"/>
    </row>
    <row r="9" spans="1:9" ht="27.95">
      <c r="B9" s="328"/>
      <c r="C9" s="330"/>
      <c r="D9" s="224" t="s">
        <v>70</v>
      </c>
      <c r="E9" s="204" t="s">
        <v>204</v>
      </c>
      <c r="F9" s="111"/>
    </row>
    <row r="10" spans="1:9">
      <c r="B10" s="328"/>
      <c r="C10" s="330"/>
      <c r="D10" s="224" t="s">
        <v>71</v>
      </c>
      <c r="E10" s="204" t="s">
        <v>200</v>
      </c>
      <c r="F10" s="111"/>
    </row>
    <row r="11" spans="1:9">
      <c r="B11" s="328"/>
      <c r="C11" s="330"/>
      <c r="D11" s="224" t="s">
        <v>72</v>
      </c>
      <c r="E11" s="204" t="s">
        <v>205</v>
      </c>
      <c r="F11" s="111"/>
    </row>
    <row r="12" spans="1:9">
      <c r="B12" s="328"/>
      <c r="C12" s="330"/>
      <c r="D12" s="224" t="s">
        <v>73</v>
      </c>
      <c r="E12" s="204" t="s">
        <v>206</v>
      </c>
      <c r="F12" s="111"/>
    </row>
    <row r="13" spans="1:9" ht="14.65" thickBot="1">
      <c r="B13" s="328"/>
      <c r="C13" s="331"/>
      <c r="D13" s="225" t="s">
        <v>74</v>
      </c>
      <c r="E13" s="205" t="s">
        <v>207</v>
      </c>
      <c r="F13" s="111"/>
    </row>
    <row r="14" spans="1:9">
      <c r="B14" s="328"/>
      <c r="C14" s="332" t="s">
        <v>208</v>
      </c>
      <c r="D14" s="94" t="s">
        <v>209</v>
      </c>
      <c r="E14" s="208"/>
      <c r="F14" s="111"/>
    </row>
    <row r="15" spans="1:9">
      <c r="B15" s="328"/>
      <c r="C15" s="333"/>
      <c r="D15" s="226" t="s">
        <v>210</v>
      </c>
      <c r="E15" s="204" t="s">
        <v>211</v>
      </c>
      <c r="F15" s="111"/>
      <c r="G15" s="316"/>
      <c r="H15" s="316"/>
      <c r="I15" s="316"/>
    </row>
    <row r="16" spans="1:9">
      <c r="B16" s="328"/>
      <c r="C16" s="333"/>
      <c r="D16" s="226" t="s">
        <v>212</v>
      </c>
      <c r="E16" s="204" t="s">
        <v>213</v>
      </c>
      <c r="F16" s="111"/>
      <c r="G16" s="316"/>
      <c r="H16" s="316"/>
      <c r="I16" s="316"/>
    </row>
    <row r="17" spans="1:9">
      <c r="B17" s="328"/>
      <c r="C17" s="333"/>
      <c r="D17" s="226" t="s">
        <v>214</v>
      </c>
      <c r="E17" s="204" t="s">
        <v>213</v>
      </c>
      <c r="F17" s="111"/>
      <c r="G17" s="316"/>
      <c r="H17" s="316"/>
      <c r="I17" s="316"/>
    </row>
    <row r="18" spans="1:9">
      <c r="B18" s="328"/>
      <c r="C18" s="333"/>
      <c r="D18" s="226" t="s">
        <v>215</v>
      </c>
      <c r="E18" s="204" t="s">
        <v>213</v>
      </c>
      <c r="F18" s="111"/>
      <c r="G18" s="316"/>
      <c r="H18" s="316"/>
      <c r="I18" s="316"/>
    </row>
    <row r="19" spans="1:9" ht="14.65" thickBot="1">
      <c r="B19" s="328"/>
      <c r="C19" s="333"/>
      <c r="D19" s="192" t="s">
        <v>216</v>
      </c>
      <c r="E19" s="205" t="s">
        <v>211</v>
      </c>
      <c r="F19" s="111"/>
      <c r="G19" s="316"/>
      <c r="H19" s="316"/>
      <c r="I19" s="316"/>
    </row>
    <row r="20" spans="1:9" ht="15" customHeight="1">
      <c r="B20" s="328"/>
      <c r="C20" s="333"/>
      <c r="D20" s="207" t="s">
        <v>87</v>
      </c>
      <c r="E20" s="335" t="s">
        <v>204</v>
      </c>
      <c r="F20" s="273" t="s">
        <v>217</v>
      </c>
      <c r="G20" s="316"/>
      <c r="H20" s="316"/>
      <c r="I20" s="316"/>
    </row>
    <row r="21" spans="1:9">
      <c r="B21" s="328"/>
      <c r="C21" s="333"/>
      <c r="D21" s="224" t="s">
        <v>88</v>
      </c>
      <c r="E21" s="336"/>
      <c r="F21" s="275"/>
      <c r="G21" s="316"/>
      <c r="H21" s="316"/>
      <c r="I21" s="316"/>
    </row>
    <row r="22" spans="1:9" ht="14.65" thickBot="1">
      <c r="B22" s="328"/>
      <c r="C22" s="333"/>
      <c r="D22" s="225" t="s">
        <v>218</v>
      </c>
      <c r="E22" s="337"/>
      <c r="F22" s="271"/>
      <c r="G22" s="316"/>
      <c r="H22" s="316"/>
      <c r="I22" s="316"/>
    </row>
    <row r="23" spans="1:9" ht="14.65" thickBot="1">
      <c r="B23" s="329"/>
      <c r="C23" s="334"/>
      <c r="D23" s="93" t="s">
        <v>219</v>
      </c>
      <c r="E23" s="80" t="s">
        <v>220</v>
      </c>
      <c r="F23" s="111"/>
      <c r="G23" s="316"/>
      <c r="H23" s="316"/>
      <c r="I23" s="316"/>
    </row>
    <row r="24" spans="1:9" ht="14.65" thickBot="1">
      <c r="F24" s="111"/>
      <c r="G24" s="316"/>
      <c r="H24" s="316"/>
      <c r="I24" s="316"/>
    </row>
    <row r="25" spans="1:9" ht="42" customHeight="1" thickBot="1">
      <c r="A25" s="128" t="s">
        <v>221</v>
      </c>
      <c r="B25" s="308" t="s">
        <v>222</v>
      </c>
      <c r="C25" s="323"/>
      <c r="D25" s="93" t="s">
        <v>80</v>
      </c>
      <c r="E25" s="201" t="s">
        <v>223</v>
      </c>
      <c r="F25" s="111"/>
    </row>
    <row r="26" spans="1:9" ht="14.65" thickBot="1">
      <c r="A26" s="14"/>
      <c r="B26" s="14"/>
      <c r="D26" s="104"/>
      <c r="E26" s="104"/>
      <c r="F26" s="111"/>
    </row>
    <row r="27" spans="1:9" ht="14.65" thickBot="1">
      <c r="A27" s="160" t="s">
        <v>224</v>
      </c>
      <c r="B27" s="103" t="s">
        <v>81</v>
      </c>
      <c r="C27" s="317" t="s">
        <v>225</v>
      </c>
      <c r="D27" s="94" t="s">
        <v>226</v>
      </c>
      <c r="E27" s="202" t="s">
        <v>227</v>
      </c>
      <c r="F27" s="111"/>
    </row>
    <row r="28" spans="1:9">
      <c r="B28" s="320" t="s">
        <v>228</v>
      </c>
      <c r="C28" s="318"/>
      <c r="D28" s="94" t="s">
        <v>199</v>
      </c>
      <c r="E28" s="203"/>
      <c r="F28" s="111"/>
    </row>
    <row r="29" spans="1:9">
      <c r="B29" s="321"/>
      <c r="C29" s="318"/>
      <c r="D29" s="110" t="s">
        <v>82</v>
      </c>
      <c r="E29" s="204" t="s">
        <v>207</v>
      </c>
      <c r="F29" s="111"/>
    </row>
    <row r="30" spans="1:9">
      <c r="B30" s="321"/>
      <c r="C30" s="318"/>
      <c r="D30" s="110" t="s">
        <v>83</v>
      </c>
      <c r="E30" s="204" t="s">
        <v>200</v>
      </c>
      <c r="F30" s="111"/>
    </row>
    <row r="31" spans="1:9">
      <c r="B31" s="321"/>
      <c r="C31" s="318"/>
      <c r="D31" s="110" t="s">
        <v>84</v>
      </c>
      <c r="E31" s="204" t="s">
        <v>200</v>
      </c>
      <c r="F31" s="111"/>
    </row>
    <row r="32" spans="1:9">
      <c r="B32" s="321"/>
      <c r="C32" s="318"/>
      <c r="D32" s="110" t="s">
        <v>85</v>
      </c>
      <c r="E32" s="204" t="s">
        <v>207</v>
      </c>
      <c r="F32" s="111"/>
    </row>
    <row r="33" spans="1:6">
      <c r="B33" s="321"/>
      <c r="C33" s="318"/>
      <c r="D33" s="224" t="s">
        <v>87</v>
      </c>
      <c r="E33" s="204" t="s">
        <v>229</v>
      </c>
      <c r="F33" s="111"/>
    </row>
    <row r="34" spans="1:6">
      <c r="B34" s="321"/>
      <c r="C34" s="318"/>
      <c r="D34" s="224" t="s">
        <v>88</v>
      </c>
      <c r="E34" s="204" t="s">
        <v>229</v>
      </c>
      <c r="F34" s="111"/>
    </row>
    <row r="35" spans="1:6" ht="14.65" thickBot="1">
      <c r="B35" s="322"/>
      <c r="C35" s="319"/>
      <c r="D35" s="225" t="s">
        <v>89</v>
      </c>
      <c r="E35" s="205" t="s">
        <v>229</v>
      </c>
      <c r="F35" s="111"/>
    </row>
    <row r="36" spans="1:6">
      <c r="F36" s="111"/>
    </row>
    <row r="37" spans="1:6" ht="14.65" thickBot="1">
      <c r="F37" s="111"/>
    </row>
    <row r="38" spans="1:6" ht="34.5" customHeight="1" thickBot="1">
      <c r="A38" s="160" t="s">
        <v>230</v>
      </c>
      <c r="B38" s="308" t="s">
        <v>90</v>
      </c>
      <c r="C38" s="323"/>
      <c r="D38" s="128" t="s">
        <v>90</v>
      </c>
      <c r="E38" s="201" t="s">
        <v>231</v>
      </c>
      <c r="F38" s="111"/>
    </row>
    <row r="39" spans="1:6">
      <c r="A39" s="161"/>
      <c r="B39" s="266" t="s">
        <v>232</v>
      </c>
      <c r="C39" s="324"/>
      <c r="D39" s="207" t="s">
        <v>91</v>
      </c>
      <c r="E39" s="208"/>
      <c r="F39" s="111"/>
    </row>
    <row r="40" spans="1:6" ht="14.65" thickBot="1">
      <c r="A40" s="161"/>
      <c r="B40" s="325"/>
      <c r="C40" s="326"/>
      <c r="D40" s="192" t="s">
        <v>94</v>
      </c>
      <c r="E40" s="205" t="s">
        <v>233</v>
      </c>
      <c r="F40" s="111"/>
    </row>
    <row r="41" spans="1:6" ht="14.65" thickBot="1">
      <c r="A41" s="161"/>
      <c r="B41" s="14"/>
      <c r="C41" s="14"/>
      <c r="D41" s="209"/>
      <c r="F41" s="111"/>
    </row>
    <row r="42" spans="1:6" ht="34.5" customHeight="1" thickBot="1">
      <c r="A42" s="160" t="s">
        <v>230</v>
      </c>
      <c r="B42" s="308" t="s">
        <v>95</v>
      </c>
      <c r="C42" s="309"/>
      <c r="D42" s="210" t="s">
        <v>95</v>
      </c>
      <c r="E42" s="201" t="s">
        <v>234</v>
      </c>
      <c r="F42" s="111"/>
    </row>
    <row r="43" spans="1:6">
      <c r="B43" s="310" t="s">
        <v>225</v>
      </c>
      <c r="C43" s="311"/>
      <c r="D43" s="106" t="s">
        <v>199</v>
      </c>
      <c r="F43" s="111"/>
    </row>
    <row r="44" spans="1:6">
      <c r="B44" s="312"/>
      <c r="C44" s="313"/>
      <c r="D44" s="107" t="s">
        <v>83</v>
      </c>
      <c r="F44"/>
    </row>
    <row r="45" spans="1:6" ht="15" customHeight="1">
      <c r="B45" s="312"/>
      <c r="C45" s="313"/>
      <c r="D45" s="108" t="s">
        <v>235</v>
      </c>
      <c r="F45"/>
    </row>
    <row r="46" spans="1:6">
      <c r="B46" s="312"/>
      <c r="C46" s="313"/>
      <c r="D46" s="108" t="s">
        <v>236</v>
      </c>
      <c r="F46"/>
    </row>
    <row r="47" spans="1:6">
      <c r="B47" s="312"/>
      <c r="C47" s="313"/>
      <c r="D47" s="108" t="s">
        <v>237</v>
      </c>
      <c r="F47"/>
    </row>
    <row r="48" spans="1:6">
      <c r="B48" s="312"/>
      <c r="C48" s="313"/>
      <c r="D48" s="108" t="s">
        <v>238</v>
      </c>
      <c r="F48"/>
    </row>
    <row r="49" spans="2:6">
      <c r="B49" s="312"/>
      <c r="C49" s="313"/>
      <c r="D49" s="108" t="s">
        <v>239</v>
      </c>
      <c r="F49"/>
    </row>
    <row r="50" spans="2:6" ht="14.65" thickBot="1">
      <c r="B50" s="314"/>
      <c r="C50" s="315"/>
      <c r="D50" s="109" t="s">
        <v>240</v>
      </c>
      <c r="F50"/>
    </row>
    <row r="51" spans="2:6">
      <c r="F51"/>
    </row>
    <row r="52" spans="2:6">
      <c r="F52"/>
    </row>
    <row r="53" spans="2:6">
      <c r="F53"/>
    </row>
    <row r="54" spans="2:6">
      <c r="F54"/>
    </row>
    <row r="55" spans="2:6">
      <c r="F55"/>
    </row>
    <row r="56" spans="2:6">
      <c r="F56"/>
    </row>
    <row r="57" spans="2:6">
      <c r="F57"/>
    </row>
    <row r="58" spans="2:6">
      <c r="F58"/>
    </row>
    <row r="59" spans="2:6">
      <c r="F59"/>
    </row>
    <row r="60" spans="2:6">
      <c r="F60"/>
    </row>
    <row r="61" spans="2:6">
      <c r="F61"/>
    </row>
    <row r="62" spans="2:6">
      <c r="F62"/>
    </row>
    <row r="63" spans="2:6">
      <c r="F63"/>
    </row>
    <row r="64" spans="2:6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  <row r="140" spans="6:6">
      <c r="F140"/>
    </row>
    <row r="141" spans="6:6">
      <c r="F141"/>
    </row>
    <row r="142" spans="6:6">
      <c r="F142"/>
    </row>
    <row r="143" spans="6:6">
      <c r="F143"/>
    </row>
    <row r="144" spans="6:6">
      <c r="F144"/>
    </row>
    <row r="145" spans="6:6">
      <c r="F145"/>
    </row>
    <row r="146" spans="6:6">
      <c r="F146"/>
    </row>
    <row r="147" spans="6:6">
      <c r="F147"/>
    </row>
    <row r="148" spans="6:6">
      <c r="F148"/>
    </row>
    <row r="149" spans="6:6">
      <c r="F149"/>
    </row>
    <row r="150" spans="6:6">
      <c r="F150"/>
    </row>
    <row r="151" spans="6:6">
      <c r="F151"/>
    </row>
    <row r="152" spans="6:6">
      <c r="F152"/>
    </row>
    <row r="153" spans="6:6">
      <c r="F153"/>
    </row>
    <row r="154" spans="6:6">
      <c r="F154"/>
    </row>
    <row r="155" spans="6:6">
      <c r="F155"/>
    </row>
    <row r="156" spans="6:6">
      <c r="F156"/>
    </row>
    <row r="157" spans="6:6">
      <c r="F157"/>
    </row>
    <row r="158" spans="6:6">
      <c r="F158"/>
    </row>
    <row r="159" spans="6:6">
      <c r="F159"/>
    </row>
    <row r="160" spans="6:6">
      <c r="F160"/>
    </row>
    <row r="161" spans="6:6">
      <c r="F161"/>
    </row>
    <row r="162" spans="6:6">
      <c r="F162"/>
    </row>
    <row r="163" spans="6:6">
      <c r="F163"/>
    </row>
    <row r="164" spans="6:6">
      <c r="F164"/>
    </row>
    <row r="165" spans="6:6">
      <c r="F165"/>
    </row>
    <row r="166" spans="6:6">
      <c r="F166"/>
    </row>
    <row r="167" spans="6:6">
      <c r="F167"/>
    </row>
    <row r="168" spans="6:6">
      <c r="F168"/>
    </row>
    <row r="169" spans="6:6">
      <c r="F169"/>
    </row>
    <row r="170" spans="6:6">
      <c r="F170"/>
    </row>
    <row r="171" spans="6:6">
      <c r="F171"/>
    </row>
    <row r="172" spans="6:6">
      <c r="F172"/>
    </row>
    <row r="173" spans="6:6">
      <c r="F173"/>
    </row>
    <row r="174" spans="6:6">
      <c r="F174"/>
    </row>
    <row r="175" spans="6:6">
      <c r="F175"/>
    </row>
    <row r="176" spans="6:6">
      <c r="F176"/>
    </row>
    <row r="177" spans="6:6">
      <c r="F177"/>
    </row>
    <row r="178" spans="6:6">
      <c r="F178"/>
    </row>
    <row r="179" spans="6:6">
      <c r="F179"/>
    </row>
    <row r="180" spans="6:6">
      <c r="F180"/>
    </row>
    <row r="181" spans="6:6">
      <c r="F181"/>
    </row>
    <row r="182" spans="6:6">
      <c r="F182"/>
    </row>
    <row r="183" spans="6:6">
      <c r="F183"/>
    </row>
    <row r="184" spans="6:6">
      <c r="F184"/>
    </row>
    <row r="185" spans="6:6">
      <c r="F185"/>
    </row>
    <row r="186" spans="6:6">
      <c r="F186"/>
    </row>
    <row r="187" spans="6:6">
      <c r="F187"/>
    </row>
    <row r="188" spans="6:6">
      <c r="F188"/>
    </row>
    <row r="189" spans="6:6">
      <c r="F189"/>
    </row>
    <row r="190" spans="6:6">
      <c r="F190"/>
    </row>
    <row r="191" spans="6:6">
      <c r="F191"/>
    </row>
    <row r="192" spans="6:6">
      <c r="F192"/>
    </row>
    <row r="193" spans="6:6">
      <c r="F193"/>
    </row>
    <row r="194" spans="6:6">
      <c r="F194"/>
    </row>
    <row r="195" spans="6:6">
      <c r="F195"/>
    </row>
    <row r="196" spans="6:6">
      <c r="F196"/>
    </row>
    <row r="197" spans="6:6">
      <c r="F197"/>
    </row>
    <row r="198" spans="6:6">
      <c r="F198"/>
    </row>
    <row r="199" spans="6:6">
      <c r="F199"/>
    </row>
    <row r="200" spans="6:6">
      <c r="F200"/>
    </row>
    <row r="201" spans="6:6">
      <c r="F201"/>
    </row>
    <row r="202" spans="6:6">
      <c r="F202"/>
    </row>
    <row r="203" spans="6:6">
      <c r="F203"/>
    </row>
    <row r="204" spans="6:6">
      <c r="F204"/>
    </row>
    <row r="205" spans="6:6">
      <c r="F205"/>
    </row>
    <row r="206" spans="6:6">
      <c r="F206"/>
    </row>
    <row r="207" spans="6:6">
      <c r="F207"/>
    </row>
    <row r="208" spans="6:6">
      <c r="F208"/>
    </row>
    <row r="209" spans="6:6">
      <c r="F209"/>
    </row>
    <row r="210" spans="6:6">
      <c r="F210"/>
    </row>
    <row r="211" spans="6:6">
      <c r="F211"/>
    </row>
    <row r="212" spans="6:6">
      <c r="F212"/>
    </row>
    <row r="213" spans="6:6">
      <c r="F213"/>
    </row>
    <row r="214" spans="6:6">
      <c r="F214"/>
    </row>
    <row r="215" spans="6:6">
      <c r="F215"/>
    </row>
    <row r="216" spans="6:6">
      <c r="F216"/>
    </row>
    <row r="217" spans="6:6">
      <c r="F217"/>
    </row>
    <row r="218" spans="6:6">
      <c r="F218"/>
    </row>
    <row r="219" spans="6:6">
      <c r="F219"/>
    </row>
    <row r="220" spans="6:6">
      <c r="F220"/>
    </row>
    <row r="221" spans="6:6">
      <c r="F221"/>
    </row>
    <row r="222" spans="6:6">
      <c r="F222"/>
    </row>
    <row r="223" spans="6:6">
      <c r="F223"/>
    </row>
    <row r="224" spans="6:6">
      <c r="F224"/>
    </row>
    <row r="225" spans="6:6">
      <c r="F225"/>
    </row>
    <row r="226" spans="6:6">
      <c r="F226"/>
    </row>
    <row r="227" spans="6:6">
      <c r="F227"/>
    </row>
    <row r="228" spans="6:6">
      <c r="F228"/>
    </row>
    <row r="229" spans="6:6">
      <c r="F229"/>
    </row>
    <row r="230" spans="6:6">
      <c r="F230"/>
    </row>
    <row r="231" spans="6:6">
      <c r="F231"/>
    </row>
    <row r="232" spans="6:6">
      <c r="F232"/>
    </row>
    <row r="233" spans="6:6">
      <c r="F233"/>
    </row>
    <row r="234" spans="6:6">
      <c r="F234"/>
    </row>
    <row r="235" spans="6:6">
      <c r="F235"/>
    </row>
    <row r="236" spans="6:6">
      <c r="F236"/>
    </row>
    <row r="237" spans="6:6">
      <c r="F237"/>
    </row>
    <row r="238" spans="6:6">
      <c r="F238"/>
    </row>
    <row r="239" spans="6:6">
      <c r="F239"/>
    </row>
    <row r="240" spans="6:6">
      <c r="F240"/>
    </row>
    <row r="241" spans="6:6">
      <c r="F241"/>
    </row>
    <row r="242" spans="6:6">
      <c r="F242"/>
    </row>
    <row r="243" spans="6:6">
      <c r="F243"/>
    </row>
    <row r="244" spans="6:6">
      <c r="F244"/>
    </row>
    <row r="245" spans="6:6">
      <c r="F245"/>
    </row>
    <row r="246" spans="6:6">
      <c r="F246"/>
    </row>
    <row r="247" spans="6:6">
      <c r="F247"/>
    </row>
    <row r="248" spans="6:6">
      <c r="F248"/>
    </row>
    <row r="249" spans="6:6">
      <c r="F249"/>
    </row>
    <row r="250" spans="6:6">
      <c r="F250"/>
    </row>
    <row r="251" spans="6:6">
      <c r="F251"/>
    </row>
    <row r="252" spans="6:6">
      <c r="F252"/>
    </row>
    <row r="253" spans="6:6">
      <c r="F253"/>
    </row>
    <row r="254" spans="6:6">
      <c r="F254"/>
    </row>
    <row r="255" spans="6:6">
      <c r="F255"/>
    </row>
    <row r="256" spans="6:6">
      <c r="F256"/>
    </row>
    <row r="257" spans="6:6">
      <c r="F257"/>
    </row>
    <row r="258" spans="6:6">
      <c r="F258"/>
    </row>
    <row r="259" spans="6:6">
      <c r="F259"/>
    </row>
    <row r="260" spans="6:6">
      <c r="F260"/>
    </row>
    <row r="261" spans="6:6">
      <c r="F261"/>
    </row>
    <row r="262" spans="6:6">
      <c r="F262"/>
    </row>
    <row r="263" spans="6:6">
      <c r="F263"/>
    </row>
    <row r="264" spans="6:6">
      <c r="F264"/>
    </row>
    <row r="265" spans="6:6">
      <c r="F265"/>
    </row>
    <row r="266" spans="6:6">
      <c r="F266"/>
    </row>
    <row r="267" spans="6:6">
      <c r="F267"/>
    </row>
    <row r="268" spans="6:6">
      <c r="F268"/>
    </row>
    <row r="269" spans="6:6">
      <c r="F269"/>
    </row>
    <row r="270" spans="6:6">
      <c r="F270"/>
    </row>
    <row r="271" spans="6:6">
      <c r="F271"/>
    </row>
    <row r="272" spans="6:6">
      <c r="F272"/>
    </row>
    <row r="273" spans="6:6">
      <c r="F273"/>
    </row>
    <row r="274" spans="6:6">
      <c r="F274"/>
    </row>
    <row r="275" spans="6:6">
      <c r="F275"/>
    </row>
    <row r="276" spans="6:6">
      <c r="F276"/>
    </row>
    <row r="277" spans="6:6">
      <c r="F277"/>
    </row>
    <row r="278" spans="6:6">
      <c r="F278"/>
    </row>
    <row r="279" spans="6:6">
      <c r="F279"/>
    </row>
    <row r="280" spans="6:6">
      <c r="F280"/>
    </row>
    <row r="281" spans="6:6">
      <c r="F281"/>
    </row>
    <row r="282" spans="6:6">
      <c r="F282"/>
    </row>
    <row r="283" spans="6:6">
      <c r="F283"/>
    </row>
    <row r="284" spans="6:6">
      <c r="F284"/>
    </row>
    <row r="285" spans="6:6">
      <c r="F285"/>
    </row>
    <row r="286" spans="6:6">
      <c r="F286"/>
    </row>
    <row r="287" spans="6:6">
      <c r="F287"/>
    </row>
    <row r="288" spans="6:6">
      <c r="F288"/>
    </row>
    <row r="289" spans="6:6">
      <c r="F289"/>
    </row>
    <row r="290" spans="6:6">
      <c r="F290"/>
    </row>
    <row r="291" spans="6:6">
      <c r="F291"/>
    </row>
    <row r="292" spans="6:6">
      <c r="F292"/>
    </row>
    <row r="293" spans="6:6">
      <c r="F293"/>
    </row>
    <row r="294" spans="6:6">
      <c r="F294"/>
    </row>
    <row r="295" spans="6:6">
      <c r="F295"/>
    </row>
    <row r="296" spans="6:6">
      <c r="F296"/>
    </row>
    <row r="297" spans="6:6">
      <c r="F297"/>
    </row>
    <row r="298" spans="6:6">
      <c r="F298"/>
    </row>
    <row r="299" spans="6:6">
      <c r="F299"/>
    </row>
    <row r="300" spans="6:6">
      <c r="F300"/>
    </row>
    <row r="301" spans="6:6">
      <c r="F301"/>
    </row>
    <row r="302" spans="6:6">
      <c r="F302"/>
    </row>
    <row r="303" spans="6:6">
      <c r="F303"/>
    </row>
    <row r="304" spans="6:6">
      <c r="F304"/>
    </row>
  </sheetData>
  <mergeCells count="15">
    <mergeCell ref="D1:E1"/>
    <mergeCell ref="B42:C42"/>
    <mergeCell ref="B43:C50"/>
    <mergeCell ref="G15:I19"/>
    <mergeCell ref="C27:C35"/>
    <mergeCell ref="B28:B35"/>
    <mergeCell ref="B38:C38"/>
    <mergeCell ref="B39:C40"/>
    <mergeCell ref="B4:B23"/>
    <mergeCell ref="C5:C13"/>
    <mergeCell ref="C14:C23"/>
    <mergeCell ref="F20:F22"/>
    <mergeCell ref="B25:C25"/>
    <mergeCell ref="G20:I24"/>
    <mergeCell ref="E20:E2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2A5E-C480-49D7-9EC1-F16B86CEC812}">
  <dimension ref="A1:E86"/>
  <sheetViews>
    <sheetView showGridLines="0" zoomScale="89" zoomScaleNormal="100" workbookViewId="0">
      <selection activeCell="C2" sqref="C2:D2"/>
    </sheetView>
  </sheetViews>
  <sheetFormatPr defaultColWidth="12" defaultRowHeight="14.1"/>
  <cols>
    <col min="2" max="2" width="27.5703125" customWidth="1"/>
    <col min="3" max="3" width="53.42578125" customWidth="1"/>
    <col min="4" max="4" width="46" customWidth="1"/>
    <col min="5" max="5" width="46.85546875" style="4" customWidth="1"/>
  </cols>
  <sheetData>
    <row r="1" spans="1:5" ht="14.65" thickBot="1">
      <c r="E1"/>
    </row>
    <row r="2" spans="1:5" s="1" customFormat="1" ht="28.5" customHeight="1" thickBot="1">
      <c r="A2" s="9"/>
      <c r="B2" s="2"/>
      <c r="C2" s="306" t="s">
        <v>195</v>
      </c>
      <c r="D2" s="307"/>
    </row>
    <row r="3" spans="1:5" s="1" customFormat="1" ht="37.5" customHeight="1" thickBot="1">
      <c r="A3" s="23" t="s">
        <v>129</v>
      </c>
      <c r="B3" s="23" t="s">
        <v>241</v>
      </c>
      <c r="C3" s="26" t="s">
        <v>129</v>
      </c>
      <c r="D3" s="27" t="s">
        <v>131</v>
      </c>
    </row>
    <row r="4" spans="1:5" ht="30.75" customHeight="1" thickBot="1">
      <c r="A4" s="44" t="s">
        <v>242</v>
      </c>
      <c r="B4" s="44" t="s">
        <v>243</v>
      </c>
      <c r="C4" s="93" t="s">
        <v>244</v>
      </c>
      <c r="D4" s="20" t="s">
        <v>245</v>
      </c>
      <c r="E4"/>
    </row>
    <row r="5" spans="1:5" ht="27.95">
      <c r="A5" s="22"/>
      <c r="B5" s="343" t="s">
        <v>246</v>
      </c>
      <c r="C5" s="54" t="s">
        <v>247</v>
      </c>
      <c r="D5" s="18" t="s">
        <v>248</v>
      </c>
      <c r="E5" s="113" t="s">
        <v>249</v>
      </c>
    </row>
    <row r="6" spans="1:5">
      <c r="A6" s="13"/>
      <c r="B6" s="344"/>
      <c r="C6" s="55" t="s">
        <v>250</v>
      </c>
      <c r="D6" s="81" t="s">
        <v>248</v>
      </c>
      <c r="E6"/>
    </row>
    <row r="7" spans="1:5">
      <c r="A7" s="13"/>
      <c r="B7" s="344"/>
      <c r="C7" s="55" t="s">
        <v>179</v>
      </c>
      <c r="D7" s="81" t="s">
        <v>248</v>
      </c>
      <c r="E7"/>
    </row>
    <row r="8" spans="1:5">
      <c r="A8" s="13"/>
      <c r="B8" s="344"/>
      <c r="C8" s="55" t="s">
        <v>178</v>
      </c>
      <c r="D8" s="81" t="s">
        <v>251</v>
      </c>
      <c r="E8"/>
    </row>
    <row r="9" spans="1:5">
      <c r="A9" s="13"/>
      <c r="B9" s="344"/>
      <c r="C9" s="55" t="s">
        <v>180</v>
      </c>
      <c r="D9" s="81" t="s">
        <v>248</v>
      </c>
      <c r="E9"/>
    </row>
    <row r="10" spans="1:5">
      <c r="A10" s="13"/>
      <c r="B10" s="344"/>
      <c r="C10" s="55" t="s">
        <v>252</v>
      </c>
      <c r="D10" s="81" t="s">
        <v>248</v>
      </c>
      <c r="E10"/>
    </row>
    <row r="11" spans="1:5">
      <c r="A11" s="13"/>
      <c r="B11" s="344"/>
      <c r="C11" s="55" t="s">
        <v>253</v>
      </c>
      <c r="D11" s="81" t="s">
        <v>248</v>
      </c>
      <c r="E11"/>
    </row>
    <row r="12" spans="1:5">
      <c r="A12" s="13"/>
      <c r="B12" s="344"/>
      <c r="C12" s="55" t="s">
        <v>254</v>
      </c>
      <c r="D12" s="81" t="s">
        <v>248</v>
      </c>
      <c r="E12"/>
    </row>
    <row r="13" spans="1:5">
      <c r="A13" s="13"/>
      <c r="B13" s="344"/>
      <c r="C13" s="55" t="s">
        <v>255</v>
      </c>
      <c r="D13" s="81" t="s">
        <v>256</v>
      </c>
      <c r="E13"/>
    </row>
    <row r="14" spans="1:5">
      <c r="A14" s="13"/>
      <c r="B14" s="344"/>
      <c r="C14" s="55" t="s">
        <v>257</v>
      </c>
      <c r="D14" s="81" t="s">
        <v>258</v>
      </c>
      <c r="E14"/>
    </row>
    <row r="15" spans="1:5">
      <c r="A15" s="13"/>
      <c r="B15" s="344"/>
      <c r="C15" s="55" t="s">
        <v>259</v>
      </c>
      <c r="D15" s="81" t="s">
        <v>260</v>
      </c>
      <c r="E15"/>
    </row>
    <row r="16" spans="1:5">
      <c r="A16" s="13"/>
      <c r="B16" s="344"/>
      <c r="C16" s="55" t="s">
        <v>261</v>
      </c>
      <c r="D16" s="81" t="s">
        <v>260</v>
      </c>
      <c r="E16"/>
    </row>
    <row r="17" spans="1:5" ht="14.65" thickBot="1">
      <c r="A17" s="21"/>
      <c r="B17" s="345"/>
      <c r="C17" s="114" t="s">
        <v>262</v>
      </c>
      <c r="D17" s="50" t="s">
        <v>251</v>
      </c>
      <c r="E17"/>
    </row>
    <row r="18" spans="1:5" ht="20.100000000000001" customHeight="1" thickBot="1">
      <c r="A18" s="338" t="s">
        <v>129</v>
      </c>
      <c r="B18" s="295"/>
      <c r="E18"/>
    </row>
    <row r="19" spans="1:5" s="53" customFormat="1" ht="15" customHeight="1" thickBot="1">
      <c r="A19" s="339" t="s">
        <v>263</v>
      </c>
      <c r="B19" s="335"/>
      <c r="C19" s="115" t="s">
        <v>106</v>
      </c>
      <c r="D19" s="80" t="s">
        <v>264</v>
      </c>
      <c r="E19"/>
    </row>
    <row r="20" spans="1:5" s="53" customFormat="1" ht="28.5" thickBot="1">
      <c r="A20" s="340"/>
      <c r="B20" s="337"/>
      <c r="C20" s="193" t="s">
        <v>108</v>
      </c>
      <c r="D20" s="227" t="s">
        <v>265</v>
      </c>
      <c r="E20" s="113" t="s">
        <v>266</v>
      </c>
    </row>
    <row r="21" spans="1:5" ht="14.65" thickBot="1">
      <c r="C21" s="52"/>
      <c r="E21"/>
    </row>
    <row r="22" spans="1:5" ht="14.65" thickBot="1">
      <c r="C22" s="341" t="s">
        <v>267</v>
      </c>
      <c r="D22" s="342"/>
      <c r="E22"/>
    </row>
    <row r="23" spans="1:5" ht="15" customHeight="1">
      <c r="E23"/>
    </row>
    <row r="24" spans="1:5">
      <c r="E24"/>
    </row>
    <row r="25" spans="1:5">
      <c r="E25"/>
    </row>
    <row r="26" spans="1:5">
      <c r="E26"/>
    </row>
    <row r="27" spans="1:5">
      <c r="E27"/>
    </row>
    <row r="28" spans="1:5">
      <c r="E28"/>
    </row>
    <row r="29" spans="1:5">
      <c r="E29"/>
    </row>
    <row r="30" spans="1:5">
      <c r="E30"/>
    </row>
    <row r="31" spans="1:5">
      <c r="E31"/>
    </row>
    <row r="32" spans="1:5">
      <c r="E32"/>
    </row>
    <row r="33" spans="5:5">
      <c r="E33"/>
    </row>
    <row r="34" spans="5:5">
      <c r="E34"/>
    </row>
    <row r="35" spans="5:5">
      <c r="E35"/>
    </row>
    <row r="36" spans="5:5">
      <c r="E36"/>
    </row>
    <row r="37" spans="5:5">
      <c r="E37"/>
    </row>
    <row r="38" spans="5:5">
      <c r="E38"/>
    </row>
    <row r="39" spans="5:5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>
      <c r="E49"/>
    </row>
    <row r="50" spans="5:5">
      <c r="E50"/>
    </row>
    <row r="51" spans="5:5">
      <c r="E51"/>
    </row>
    <row r="52" spans="5:5">
      <c r="E52"/>
    </row>
    <row r="53" spans="5:5">
      <c r="E53" s="116"/>
    </row>
    <row r="54" spans="5:5">
      <c r="E54" s="116"/>
    </row>
    <row r="55" spans="5:5">
      <c r="E55" s="116"/>
    </row>
    <row r="56" spans="5:5">
      <c r="E56" s="116"/>
    </row>
    <row r="57" spans="5:5">
      <c r="E57" s="116"/>
    </row>
    <row r="59" spans="5:5" ht="21">
      <c r="E59" s="92"/>
    </row>
    <row r="60" spans="5:5">
      <c r="E60" s="56"/>
    </row>
    <row r="61" spans="5:5">
      <c r="E61" s="116"/>
    </row>
    <row r="62" spans="5:5">
      <c r="E62" s="104"/>
    </row>
    <row r="63" spans="5:5">
      <c r="E63" s="104"/>
    </row>
    <row r="64" spans="5:5">
      <c r="E64" s="116"/>
    </row>
    <row r="65" spans="5:5">
      <c r="E65" s="116"/>
    </row>
    <row r="66" spans="5:5">
      <c r="E66" s="116"/>
    </row>
    <row r="67" spans="5:5">
      <c r="E67" s="116"/>
    </row>
    <row r="68" spans="5:5">
      <c r="E68" s="116"/>
    </row>
    <row r="69" spans="5:5">
      <c r="E69" s="116"/>
    </row>
    <row r="70" spans="5:5">
      <c r="E70" s="116"/>
    </row>
    <row r="71" spans="5:5">
      <c r="E71" s="116"/>
    </row>
    <row r="72" spans="5:5">
      <c r="E72" s="116"/>
    </row>
    <row r="73" spans="5:5">
      <c r="E73" s="116"/>
    </row>
    <row r="74" spans="5:5">
      <c r="E74" s="116"/>
    </row>
    <row r="75" spans="5:5">
      <c r="E75" s="116"/>
    </row>
    <row r="76" spans="5:5">
      <c r="E76" s="116"/>
    </row>
    <row r="77" spans="5:5">
      <c r="E77" s="116"/>
    </row>
    <row r="78" spans="5:5">
      <c r="E78" s="116"/>
    </row>
    <row r="79" spans="5:5">
      <c r="E79" s="116"/>
    </row>
    <row r="80" spans="5:5">
      <c r="E80" s="116"/>
    </row>
    <row r="81" spans="5:5">
      <c r="E81" s="116"/>
    </row>
    <row r="82" spans="5:5">
      <c r="E82" s="116"/>
    </row>
    <row r="83" spans="5:5">
      <c r="E83" s="116"/>
    </row>
    <row r="84" spans="5:5">
      <c r="E84" s="116"/>
    </row>
    <row r="85" spans="5:5">
      <c r="E85" s="116"/>
    </row>
    <row r="86" spans="5:5">
      <c r="E86" s="116"/>
    </row>
  </sheetData>
  <mergeCells count="5">
    <mergeCell ref="A18:B18"/>
    <mergeCell ref="A19:B20"/>
    <mergeCell ref="C22:D22"/>
    <mergeCell ref="C2:D2"/>
    <mergeCell ref="B5:B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zoomScale="80" zoomScaleNormal="80" workbookViewId="0">
      <selection activeCell="D22" sqref="D22"/>
    </sheetView>
  </sheetViews>
  <sheetFormatPr defaultColWidth="12.140625" defaultRowHeight="14.1"/>
  <cols>
    <col min="2" max="2" width="28.28515625" customWidth="1"/>
    <col min="3" max="3" width="33.42578125" customWidth="1"/>
    <col min="4" max="4" width="63.140625" customWidth="1"/>
    <col min="5" max="5" width="30.5703125" customWidth="1"/>
  </cols>
  <sheetData>
    <row r="1" spans="1:6" ht="14.65" thickBot="1"/>
    <row r="2" spans="1:6" s="1" customFormat="1" ht="20.100000000000001" customHeight="1" thickBot="1">
      <c r="A2" s="9"/>
      <c r="B2" s="2"/>
      <c r="C2" s="306" t="s">
        <v>195</v>
      </c>
      <c r="D2" s="307"/>
      <c r="E2" s="11"/>
      <c r="F2" s="11"/>
    </row>
    <row r="3" spans="1:6" s="1" customFormat="1" ht="37.5" customHeight="1" thickBot="1">
      <c r="A3" s="10" t="s">
        <v>129</v>
      </c>
      <c r="B3" s="8" t="s">
        <v>268</v>
      </c>
      <c r="C3" s="26" t="s">
        <v>129</v>
      </c>
      <c r="D3" s="10" t="s">
        <v>131</v>
      </c>
      <c r="E3" s="11"/>
      <c r="F3" s="11"/>
    </row>
    <row r="4" spans="1:6" ht="14.65" thickBot="1">
      <c r="A4" s="47" t="s">
        <v>242</v>
      </c>
      <c r="B4" s="48" t="s">
        <v>269</v>
      </c>
      <c r="C4" s="46" t="s">
        <v>110</v>
      </c>
      <c r="D4" s="19" t="s">
        <v>270</v>
      </c>
      <c r="E4" s="11"/>
      <c r="F4" s="11"/>
    </row>
    <row r="5" spans="1:6" ht="14.65" thickBot="1">
      <c r="A5" s="75"/>
      <c r="B5" s="76"/>
      <c r="C5" s="73" t="s">
        <v>199</v>
      </c>
      <c r="D5" s="73"/>
      <c r="E5" s="11"/>
      <c r="F5" s="11"/>
    </row>
    <row r="6" spans="1:6" ht="14.65" thickBot="1">
      <c r="A6" s="77"/>
      <c r="B6" s="78"/>
      <c r="C6" s="74" t="s">
        <v>271</v>
      </c>
      <c r="D6" s="18" t="s">
        <v>272</v>
      </c>
      <c r="E6" s="11"/>
      <c r="F6" s="11"/>
    </row>
    <row r="7" spans="1:6" ht="14.65" thickBot="1">
      <c r="A7" s="77"/>
      <c r="B7" s="78"/>
      <c r="C7" s="45" t="s">
        <v>273</v>
      </c>
      <c r="D7" s="18" t="s">
        <v>274</v>
      </c>
      <c r="E7" s="11"/>
      <c r="F7" s="11"/>
    </row>
    <row r="8" spans="1:6" ht="15.75" customHeight="1">
      <c r="A8" s="77"/>
      <c r="B8" s="339" t="s">
        <v>275</v>
      </c>
      <c r="C8" s="86" t="s">
        <v>276</v>
      </c>
      <c r="D8" s="18" t="s">
        <v>277</v>
      </c>
      <c r="E8" s="11"/>
      <c r="F8" s="12"/>
    </row>
    <row r="9" spans="1:6">
      <c r="A9" s="77"/>
      <c r="B9" s="346"/>
      <c r="C9" s="87" t="s">
        <v>278</v>
      </c>
      <c r="D9" s="81" t="s">
        <v>279</v>
      </c>
      <c r="E9" s="11"/>
      <c r="F9" s="12"/>
    </row>
    <row r="10" spans="1:6" ht="14.65" thickBot="1">
      <c r="A10" s="77"/>
      <c r="B10" s="340"/>
      <c r="C10" s="88" t="s">
        <v>280</v>
      </c>
      <c r="D10" s="82" t="s">
        <v>281</v>
      </c>
    </row>
  </sheetData>
  <mergeCells count="2">
    <mergeCell ref="C2:D2"/>
    <mergeCell ref="B8:B1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showGridLines="0" zoomScale="80" zoomScaleNormal="80" workbookViewId="0">
      <selection activeCell="C3" sqref="C3"/>
    </sheetView>
  </sheetViews>
  <sheetFormatPr defaultColWidth="12" defaultRowHeight="14.1"/>
  <cols>
    <col min="2" max="2" width="37.7109375" customWidth="1"/>
    <col min="3" max="3" width="19" customWidth="1"/>
    <col min="4" max="4" width="45.28515625" customWidth="1"/>
  </cols>
  <sheetData>
    <row r="1" spans="1:6" ht="14.65" thickBot="1"/>
    <row r="2" spans="1:6" s="1" customFormat="1" ht="28.5" customHeight="1" thickBot="1">
      <c r="A2" s="9"/>
      <c r="B2" s="2"/>
      <c r="C2" s="306" t="s">
        <v>195</v>
      </c>
      <c r="D2" s="307"/>
      <c r="E2" s="11"/>
      <c r="F2" s="11"/>
    </row>
    <row r="3" spans="1:6" s="1" customFormat="1" ht="37.5" customHeight="1" thickBot="1">
      <c r="A3" s="10" t="s">
        <v>129</v>
      </c>
      <c r="B3" s="10" t="s">
        <v>282</v>
      </c>
      <c r="C3" s="3" t="s">
        <v>129</v>
      </c>
      <c r="D3" s="5" t="s">
        <v>131</v>
      </c>
      <c r="E3" s="11"/>
      <c r="F3" s="11"/>
    </row>
    <row r="4" spans="1:6" ht="28.5" thickBot="1">
      <c r="A4" s="7" t="s">
        <v>242</v>
      </c>
      <c r="B4" s="7" t="s">
        <v>283</v>
      </c>
      <c r="C4" s="51" t="s">
        <v>192</v>
      </c>
      <c r="D4" s="80" t="s">
        <v>284</v>
      </c>
      <c r="E4" s="11"/>
      <c r="F4" s="11"/>
    </row>
    <row r="6" spans="1:6">
      <c r="B6" s="70" t="s">
        <v>285</v>
      </c>
    </row>
    <row r="7" spans="1:6">
      <c r="B7" s="105"/>
    </row>
    <row r="8" spans="1:6" ht="15.6">
      <c r="B8" s="118" t="s">
        <v>286</v>
      </c>
      <c r="C8" s="117"/>
      <c r="D8" s="117"/>
    </row>
    <row r="9" spans="1:6">
      <c r="B9" s="105"/>
    </row>
  </sheetData>
  <mergeCells count="1">
    <mergeCell ref="C2:D2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2E230-111C-4638-8F91-64DC09E2967B}">
  <dimension ref="A1:D14"/>
  <sheetViews>
    <sheetView showGridLines="0" workbookViewId="0">
      <selection activeCell="C3" sqref="C3"/>
    </sheetView>
  </sheetViews>
  <sheetFormatPr defaultRowHeight="14.1"/>
  <cols>
    <col min="1" max="1" width="13" customWidth="1"/>
    <col min="2" max="2" width="20.5703125" customWidth="1"/>
    <col min="3" max="3" width="43.42578125" customWidth="1"/>
    <col min="4" max="4" width="33.140625" customWidth="1"/>
  </cols>
  <sheetData>
    <row r="1" spans="1:4" ht="14.65" thickBot="1"/>
    <row r="2" spans="1:4" ht="15.75" customHeight="1" thickBot="1">
      <c r="A2" s="9"/>
      <c r="B2" s="2"/>
      <c r="C2" s="306" t="s">
        <v>195</v>
      </c>
      <c r="D2" s="307"/>
    </row>
    <row r="3" spans="1:4" ht="14.65" thickBot="1">
      <c r="A3" s="10" t="s">
        <v>129</v>
      </c>
      <c r="B3" s="10" t="s">
        <v>282</v>
      </c>
      <c r="C3" s="3" t="s">
        <v>129</v>
      </c>
      <c r="D3" s="5" t="s">
        <v>131</v>
      </c>
    </row>
    <row r="4" spans="1:4" s="49" customFormat="1" ht="14.65" thickBot="1">
      <c r="A4" s="50" t="s">
        <v>242</v>
      </c>
      <c r="B4" s="50" t="s">
        <v>287</v>
      </c>
      <c r="C4" s="51" t="s">
        <v>192</v>
      </c>
      <c r="D4" s="80" t="s">
        <v>288</v>
      </c>
    </row>
    <row r="5" spans="1:4">
      <c r="C5" s="119" t="s">
        <v>121</v>
      </c>
      <c r="D5" s="194"/>
    </row>
    <row r="6" spans="1:4">
      <c r="C6" s="120" t="s">
        <v>122</v>
      </c>
      <c r="D6" s="195"/>
    </row>
    <row r="7" spans="1:4">
      <c r="C7" s="120" t="s">
        <v>123</v>
      </c>
      <c r="D7" s="195"/>
    </row>
    <row r="8" spans="1:4">
      <c r="C8" s="121" t="s">
        <v>124</v>
      </c>
      <c r="D8" s="195" t="s">
        <v>289</v>
      </c>
    </row>
    <row r="9" spans="1:4">
      <c r="C9" s="120" t="s">
        <v>125</v>
      </c>
      <c r="D9" s="195"/>
    </row>
    <row r="10" spans="1:4">
      <c r="C10" s="120" t="s">
        <v>290</v>
      </c>
      <c r="D10" s="196"/>
    </row>
    <row r="11" spans="1:4" ht="14.65" thickBot="1">
      <c r="C11" s="122" t="s">
        <v>126</v>
      </c>
      <c r="D11" s="197" t="s">
        <v>291</v>
      </c>
    </row>
    <row r="13" spans="1:4">
      <c r="C13" s="230" t="s">
        <v>292</v>
      </c>
    </row>
    <row r="14" spans="1:4">
      <c r="C14" s="123" t="s">
        <v>293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7"/>
  <sheetViews>
    <sheetView showGridLines="0" zoomScale="90" zoomScaleNormal="90" workbookViewId="0">
      <selection activeCell="E3" sqref="E3"/>
    </sheetView>
  </sheetViews>
  <sheetFormatPr defaultColWidth="11.42578125" defaultRowHeight="14.1"/>
  <cols>
    <col min="1" max="1" width="31.85546875" customWidth="1"/>
    <col min="2" max="2" width="29.7109375" customWidth="1"/>
    <col min="3" max="3" width="45.28515625" customWidth="1"/>
    <col min="4" max="5" width="11.42578125" customWidth="1"/>
    <col min="6" max="6" width="12.42578125" customWidth="1"/>
  </cols>
  <sheetData>
    <row r="2" spans="1:6" ht="14.65" thickBot="1">
      <c r="A2" s="9"/>
      <c r="B2" s="2"/>
    </row>
    <row r="3" spans="1:6" ht="35.25" customHeight="1" thickBot="1">
      <c r="A3" s="10" t="s">
        <v>129</v>
      </c>
      <c r="B3" s="10" t="s">
        <v>294</v>
      </c>
      <c r="C3" s="5" t="s">
        <v>131</v>
      </c>
    </row>
    <row r="4" spans="1:6" ht="42.95" customHeight="1" thickBot="1">
      <c r="A4" s="17" t="s">
        <v>295</v>
      </c>
      <c r="B4" s="18" t="s">
        <v>296</v>
      </c>
      <c r="C4" s="20" t="s">
        <v>297</v>
      </c>
    </row>
    <row r="5" spans="1:6" ht="60.2" customHeight="1" thickBot="1">
      <c r="A5" s="79" t="s">
        <v>295</v>
      </c>
      <c r="B5" s="19" t="s">
        <v>298</v>
      </c>
      <c r="C5" s="80" t="s">
        <v>299</v>
      </c>
    </row>
    <row r="7" spans="1:6">
      <c r="A7" s="231"/>
      <c r="B7" s="231"/>
      <c r="C7" s="231"/>
      <c r="D7" s="231"/>
      <c r="E7" s="231"/>
      <c r="F7" s="23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8FC3-EEB0-436E-AA73-9C4F661A8A63}">
  <dimension ref="A1:C13"/>
  <sheetViews>
    <sheetView showGridLines="0" workbookViewId="0">
      <selection activeCell="D11" sqref="D11"/>
    </sheetView>
  </sheetViews>
  <sheetFormatPr defaultRowHeight="14.1"/>
  <cols>
    <col min="2" max="2" width="49.5703125" customWidth="1"/>
    <col min="3" max="3" width="28.140625" customWidth="1"/>
    <col min="4" max="4" width="22" customWidth="1"/>
  </cols>
  <sheetData>
    <row r="1" spans="1:3" ht="25.7" customHeight="1">
      <c r="B1" s="4"/>
    </row>
    <row r="2" spans="1:3" ht="15" thickBot="1"/>
    <row r="3" spans="1:3" ht="15" thickBot="1">
      <c r="B3" s="15" t="s">
        <v>300</v>
      </c>
      <c r="C3" s="16" t="s">
        <v>32</v>
      </c>
    </row>
    <row r="4" spans="1:3">
      <c r="A4" s="347" t="s">
        <v>301</v>
      </c>
      <c r="B4" s="198" t="s">
        <v>302</v>
      </c>
      <c r="C4" s="124" t="s">
        <v>303</v>
      </c>
    </row>
    <row r="5" spans="1:3">
      <c r="A5" s="348"/>
      <c r="B5" s="199" t="s">
        <v>304</v>
      </c>
      <c r="C5" s="48" t="s">
        <v>303</v>
      </c>
    </row>
    <row r="6" spans="1:3">
      <c r="A6" s="348"/>
      <c r="B6" s="199" t="s">
        <v>305</v>
      </c>
      <c r="C6" s="48" t="s">
        <v>303</v>
      </c>
    </row>
    <row r="7" spans="1:3">
      <c r="A7" s="348"/>
      <c r="B7" s="199" t="s">
        <v>306</v>
      </c>
      <c r="C7" s="48" t="s">
        <v>303</v>
      </c>
    </row>
    <row r="8" spans="1:3">
      <c r="A8" s="348"/>
      <c r="B8" s="199" t="s">
        <v>307</v>
      </c>
      <c r="C8" s="48" t="s">
        <v>303</v>
      </c>
    </row>
    <row r="9" spans="1:3">
      <c r="A9" s="348"/>
      <c r="B9" s="199" t="s">
        <v>308</v>
      </c>
      <c r="C9" s="48" t="s">
        <v>303</v>
      </c>
    </row>
    <row r="10" spans="1:3">
      <c r="A10" s="348"/>
      <c r="B10" s="199" t="s">
        <v>309</v>
      </c>
      <c r="C10" s="48" t="s">
        <v>303</v>
      </c>
    </row>
    <row r="11" spans="1:3">
      <c r="A11" s="348"/>
      <c r="B11" s="199" t="s">
        <v>310</v>
      </c>
      <c r="C11" s="48" t="s">
        <v>303</v>
      </c>
    </row>
    <row r="12" spans="1:3">
      <c r="A12" s="348"/>
      <c r="B12" s="199" t="s">
        <v>311</v>
      </c>
      <c r="C12" s="125" t="s">
        <v>312</v>
      </c>
    </row>
    <row r="13" spans="1:3" ht="14.65" thickBot="1">
      <c r="A13" s="349"/>
      <c r="B13" s="200" t="s">
        <v>313</v>
      </c>
      <c r="C13" s="126" t="s">
        <v>314</v>
      </c>
    </row>
  </sheetData>
  <mergeCells count="1">
    <mergeCell ref="A4:A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6B5AF1C6C739439D85C6F8903B159F" ma:contentTypeVersion="11" ma:contentTypeDescription="Creare un nuovo documento." ma:contentTypeScope="" ma:versionID="fa4ae2d0b0be727a99fea1183f4f1b63">
  <xsd:schema xmlns:xsd="http://www.w3.org/2001/XMLSchema" xmlns:xs="http://www.w3.org/2001/XMLSchema" xmlns:p="http://schemas.microsoft.com/office/2006/metadata/properties" xmlns:ns2="535341f1-ec60-489b-b19c-b045ef1d3ce7" xmlns:ns3="99dd70cf-8536-4201-a705-8bd2a31d9e42" targetNamespace="http://schemas.microsoft.com/office/2006/metadata/properties" ma:root="true" ma:fieldsID="a69321dd6334d7b778771e240a33ff69" ns2:_="" ns3:_="">
    <xsd:import namespace="535341f1-ec60-489b-b19c-b045ef1d3ce7"/>
    <xsd:import namespace="99dd70cf-8536-4201-a705-8bd2a31d9e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5341f1-ec60-489b-b19c-b045ef1d3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 immagine" ma:readOnly="false" ma:fieldId="{5cf76f15-5ced-4ddc-b409-7134ff3c332f}" ma:taxonomyMulti="true" ma:sspId="28002069-fee1-413c-b626-0f71e36cdb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dd70cf-8536-4201-a705-8bd2a31d9e4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175683e-aa0e-49e2-a65e-1b6dc6640ee2}" ma:internalName="TaxCatchAll" ma:showField="CatchAllData" ma:web="99dd70cf-8536-4201-a705-8bd2a31d9e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5341f1-ec60-489b-b19c-b045ef1d3ce7">
      <Terms xmlns="http://schemas.microsoft.com/office/infopath/2007/PartnerControls"/>
    </lcf76f155ced4ddcb4097134ff3c332f>
    <TaxCatchAll xmlns="99dd70cf-8536-4201-a705-8bd2a31d9e42" xsi:nil="true"/>
  </documentManagement>
</p:properties>
</file>

<file path=customXml/itemProps1.xml><?xml version="1.0" encoding="utf-8"?>
<ds:datastoreItem xmlns:ds="http://schemas.openxmlformats.org/officeDocument/2006/customXml" ds:itemID="{599BCAAD-5EFD-4337-9DDC-8E8BC9D7EF28}"/>
</file>

<file path=customXml/itemProps2.xml><?xml version="1.0" encoding="utf-8"?>
<ds:datastoreItem xmlns:ds="http://schemas.openxmlformats.org/officeDocument/2006/customXml" ds:itemID="{C880A088-6D33-4A04-A4A2-763F24AEAB46}"/>
</file>

<file path=customXml/itemProps3.xml><?xml version="1.0" encoding="utf-8"?>
<ds:datastoreItem xmlns:ds="http://schemas.openxmlformats.org/officeDocument/2006/customXml" ds:itemID="{0F416B5E-5849-43E5-B71E-CCEB72A16E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Mochi</dc:creator>
  <cp:keywords/>
  <dc:description/>
  <cp:lastModifiedBy>Fabrizia Colombo</cp:lastModifiedBy>
  <cp:revision/>
  <dcterms:created xsi:type="dcterms:W3CDTF">2015-06-05T18:19:34Z</dcterms:created>
  <dcterms:modified xsi:type="dcterms:W3CDTF">2022-10-03T07:41:16Z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dace53-bb26-49c1-b263-21baa9bbd689_Enabled">
    <vt:lpwstr>true</vt:lpwstr>
  </property>
  <property fmtid="{D5CDD505-2E9C-101B-9397-08002B2CF9AE}" pid="3" name="MSIP_Label_c6dace53-bb26-49c1-b263-21baa9bbd689_SetDate">
    <vt:lpwstr>2022-04-13T12:38:34Z</vt:lpwstr>
  </property>
  <property fmtid="{D5CDD505-2E9C-101B-9397-08002B2CF9AE}" pid="4" name="MSIP_Label_c6dace53-bb26-49c1-b263-21baa9bbd689_Method">
    <vt:lpwstr>Privileged</vt:lpwstr>
  </property>
  <property fmtid="{D5CDD505-2E9C-101B-9397-08002B2CF9AE}" pid="5" name="MSIP_Label_c6dace53-bb26-49c1-b263-21baa9bbd689_Name">
    <vt:lpwstr>c6dace53-bb26-49c1-b263-21baa9bbd689</vt:lpwstr>
  </property>
  <property fmtid="{D5CDD505-2E9C-101B-9397-08002B2CF9AE}" pid="6" name="MSIP_Label_c6dace53-bb26-49c1-b263-21baa9bbd689_SiteId">
    <vt:lpwstr>582259a1-dcaa-4cca-b1cf-e60d3f045ecd</vt:lpwstr>
  </property>
  <property fmtid="{D5CDD505-2E9C-101B-9397-08002B2CF9AE}" pid="7" name="MSIP_Label_c6dace53-bb26-49c1-b263-21baa9bbd689_ActionId">
    <vt:lpwstr>b4865997-1c2e-470e-81d7-259ad7c58236</vt:lpwstr>
  </property>
  <property fmtid="{D5CDD505-2E9C-101B-9397-08002B2CF9AE}" pid="8" name="MSIP_Label_c6dace53-bb26-49c1-b263-21baa9bbd689_ContentBits">
    <vt:lpwstr>0</vt:lpwstr>
  </property>
  <property fmtid="{D5CDD505-2E9C-101B-9397-08002B2CF9AE}" pid="9" name="Order">
    <vt:r8>616600</vt:r8>
  </property>
  <property fmtid="{D5CDD505-2E9C-101B-9397-08002B2CF9AE}" pid="10" name="ContentTypeId">
    <vt:lpwstr>0x010100986B5AF1C6C739439D85C6F8903B159F</vt:lpwstr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MediaServiceImageTags">
    <vt:lpwstr/>
  </property>
</Properties>
</file>